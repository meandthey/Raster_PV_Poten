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us\Desktop\Github\Raster_PV_Poten\JAMS\Results Analysis\output\"/>
    </mc:Choice>
  </mc:AlternateContent>
  <xr:revisionPtr revIDLastSave="0" documentId="13_ncr:1_{C92A1592-EF04-4472-95AA-2696B687D900}" xr6:coauthVersionLast="47" xr6:coauthVersionMax="47" xr10:uidLastSave="{00000000-0000-0000-0000-000000000000}"/>
  <bookViews>
    <workbookView xWindow="-105" yWindow="0" windowWidth="19410" windowHeight="20985" activeTab="2" xr2:uid="{848E88AF-C62E-4FAE-89AF-7676CA21BEF9}"/>
  </bookViews>
  <sheets>
    <sheet name="allData_wTotal_forTable" sheetId="1" r:id="rId1"/>
    <sheet name="플랫폼용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" i="3" l="1"/>
  <c r="V73" i="3"/>
  <c r="U74" i="3"/>
  <c r="V74" i="3"/>
  <c r="U75" i="3"/>
  <c r="V75" i="3"/>
  <c r="U76" i="3"/>
  <c r="V76" i="3"/>
  <c r="U77" i="3"/>
  <c r="V77" i="3"/>
  <c r="U78" i="3"/>
  <c r="V78" i="3"/>
  <c r="U79" i="3"/>
  <c r="V79" i="3"/>
  <c r="U80" i="3"/>
  <c r="V80" i="3"/>
  <c r="U81" i="3"/>
  <c r="V81" i="3"/>
  <c r="U82" i="3"/>
  <c r="V82" i="3"/>
  <c r="U83" i="3"/>
  <c r="V83" i="3"/>
  <c r="U84" i="3"/>
  <c r="V84" i="3"/>
  <c r="U85" i="3"/>
  <c r="V85" i="3"/>
  <c r="U86" i="3"/>
  <c r="V86" i="3"/>
  <c r="U87" i="3"/>
  <c r="V87" i="3"/>
  <c r="U88" i="3"/>
  <c r="V88" i="3"/>
  <c r="U89" i="3"/>
  <c r="V89" i="3"/>
  <c r="U90" i="3"/>
  <c r="V90" i="3"/>
  <c r="U91" i="3"/>
  <c r="V91" i="3"/>
  <c r="U92" i="3"/>
  <c r="V92" i="3"/>
  <c r="U93" i="3"/>
  <c r="V93" i="3"/>
  <c r="U94" i="3"/>
  <c r="V94" i="3"/>
  <c r="U95" i="3"/>
  <c r="V95" i="3"/>
  <c r="U96" i="3"/>
  <c r="V96" i="3"/>
  <c r="U97" i="3"/>
  <c r="V97" i="3"/>
  <c r="U98" i="3"/>
  <c r="V98" i="3"/>
  <c r="U99" i="3"/>
  <c r="V99" i="3"/>
  <c r="U100" i="3"/>
  <c r="V100" i="3"/>
  <c r="U101" i="3"/>
  <c r="V101" i="3"/>
  <c r="U102" i="3"/>
  <c r="V102" i="3"/>
  <c r="U103" i="3"/>
  <c r="V103" i="3"/>
  <c r="U104" i="3"/>
  <c r="V104" i="3"/>
  <c r="U105" i="3"/>
  <c r="V105" i="3"/>
  <c r="U106" i="3"/>
  <c r="V106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73" i="3"/>
  <c r="H74" i="3"/>
  <c r="I74" i="3"/>
  <c r="J74" i="3"/>
  <c r="H75" i="3"/>
  <c r="I75" i="3"/>
  <c r="J75" i="3"/>
  <c r="H76" i="3"/>
  <c r="I76" i="3"/>
  <c r="J76" i="3"/>
  <c r="H77" i="3"/>
  <c r="I77" i="3"/>
  <c r="J77" i="3"/>
  <c r="H78" i="3"/>
  <c r="I78" i="3"/>
  <c r="J78" i="3"/>
  <c r="H79" i="3"/>
  <c r="I79" i="3"/>
  <c r="J79" i="3"/>
  <c r="H80" i="3"/>
  <c r="I80" i="3"/>
  <c r="J80" i="3"/>
  <c r="H81" i="3"/>
  <c r="I81" i="3"/>
  <c r="J81" i="3"/>
  <c r="H82" i="3"/>
  <c r="I82" i="3"/>
  <c r="J82" i="3"/>
  <c r="H83" i="3"/>
  <c r="I83" i="3"/>
  <c r="J83" i="3"/>
  <c r="H84" i="3"/>
  <c r="I84" i="3"/>
  <c r="J84" i="3"/>
  <c r="H85" i="3"/>
  <c r="I85" i="3"/>
  <c r="J85" i="3"/>
  <c r="H86" i="3"/>
  <c r="I86" i="3"/>
  <c r="J86" i="3"/>
  <c r="H87" i="3"/>
  <c r="I87" i="3"/>
  <c r="J87" i="3"/>
  <c r="H88" i="3"/>
  <c r="I88" i="3"/>
  <c r="J88" i="3"/>
  <c r="H89" i="3"/>
  <c r="I89" i="3"/>
  <c r="J89" i="3"/>
  <c r="H90" i="3"/>
  <c r="I90" i="3"/>
  <c r="J90" i="3"/>
  <c r="H91" i="3"/>
  <c r="I91" i="3"/>
  <c r="J91" i="3"/>
  <c r="H92" i="3"/>
  <c r="I92" i="3"/>
  <c r="J92" i="3"/>
  <c r="H93" i="3"/>
  <c r="I93" i="3"/>
  <c r="J93" i="3"/>
  <c r="H94" i="3"/>
  <c r="I94" i="3"/>
  <c r="J94" i="3"/>
  <c r="H95" i="3"/>
  <c r="I95" i="3"/>
  <c r="J95" i="3"/>
  <c r="H96" i="3"/>
  <c r="I96" i="3"/>
  <c r="J96" i="3"/>
  <c r="H97" i="3"/>
  <c r="I97" i="3"/>
  <c r="J97" i="3"/>
  <c r="H98" i="3"/>
  <c r="I98" i="3"/>
  <c r="J98" i="3"/>
  <c r="H99" i="3"/>
  <c r="I99" i="3"/>
  <c r="J99" i="3"/>
  <c r="H100" i="3"/>
  <c r="I100" i="3"/>
  <c r="J100" i="3"/>
  <c r="H101" i="3"/>
  <c r="I101" i="3"/>
  <c r="J101" i="3"/>
  <c r="H102" i="3"/>
  <c r="I102" i="3"/>
  <c r="J102" i="3"/>
  <c r="H103" i="3"/>
  <c r="I103" i="3"/>
  <c r="J103" i="3"/>
  <c r="H104" i="3"/>
  <c r="I104" i="3"/>
  <c r="J104" i="3"/>
  <c r="H105" i="3"/>
  <c r="I105" i="3"/>
  <c r="J105" i="3"/>
  <c r="H106" i="3"/>
  <c r="I106" i="3"/>
  <c r="J106" i="3"/>
  <c r="I73" i="3"/>
  <c r="J73" i="3"/>
  <c r="H73" i="3"/>
  <c r="J36" i="3"/>
  <c r="V36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" i="3"/>
  <c r="T3" i="3"/>
  <c r="U3" i="3"/>
  <c r="U36" i="3"/>
  <c r="U25" i="3"/>
  <c r="T25" i="3"/>
  <c r="T36" i="3"/>
  <c r="T26" i="3"/>
  <c r="U26" i="3"/>
  <c r="T27" i="3"/>
  <c r="U27" i="3"/>
  <c r="T28" i="3"/>
  <c r="U28" i="3"/>
  <c r="T29" i="3"/>
  <c r="U29" i="3"/>
  <c r="T30" i="3"/>
  <c r="U30" i="3"/>
  <c r="T31" i="3"/>
  <c r="U31" i="3"/>
  <c r="T32" i="3"/>
  <c r="U32" i="3"/>
  <c r="T33" i="3"/>
  <c r="U33" i="3"/>
  <c r="T34" i="3"/>
  <c r="U34" i="3"/>
  <c r="T35" i="3"/>
  <c r="U35" i="3"/>
  <c r="T5" i="3"/>
  <c r="U5" i="3"/>
  <c r="T6" i="3"/>
  <c r="U6" i="3"/>
  <c r="T7" i="3"/>
  <c r="U7" i="3"/>
  <c r="T8" i="3"/>
  <c r="U8" i="3"/>
  <c r="T9" i="3"/>
  <c r="U9" i="3"/>
  <c r="T10" i="3"/>
  <c r="U10" i="3"/>
  <c r="T11" i="3"/>
  <c r="U11" i="3"/>
  <c r="T12" i="3"/>
  <c r="U12" i="3"/>
  <c r="T13" i="3"/>
  <c r="U13" i="3"/>
  <c r="T14" i="3"/>
  <c r="U14" i="3"/>
  <c r="T15" i="3"/>
  <c r="U15" i="3"/>
  <c r="T16" i="3"/>
  <c r="U16" i="3"/>
  <c r="T17" i="3"/>
  <c r="U17" i="3"/>
  <c r="T18" i="3"/>
  <c r="U18" i="3"/>
  <c r="T19" i="3"/>
  <c r="U19" i="3"/>
  <c r="T20" i="3"/>
  <c r="U20" i="3"/>
  <c r="T21" i="3"/>
  <c r="U21" i="3"/>
  <c r="T22" i="3"/>
  <c r="U22" i="3"/>
  <c r="T23" i="3"/>
  <c r="U23" i="3"/>
  <c r="T24" i="3"/>
  <c r="U24" i="3"/>
  <c r="U4" i="3"/>
  <c r="T4" i="3"/>
  <c r="I3" i="3"/>
  <c r="I36" i="3"/>
  <c r="I25" i="3"/>
  <c r="H36" i="3"/>
  <c r="H25" i="3"/>
  <c r="I27" i="3"/>
  <c r="I28" i="3"/>
  <c r="I29" i="3"/>
  <c r="I30" i="3"/>
  <c r="I31" i="3"/>
  <c r="I32" i="3"/>
  <c r="I33" i="3"/>
  <c r="I34" i="3"/>
  <c r="I35" i="3"/>
  <c r="I26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4" i="3"/>
  <c r="H27" i="3"/>
  <c r="H28" i="3"/>
  <c r="H29" i="3"/>
  <c r="H30" i="3"/>
  <c r="H31" i="3"/>
  <c r="H32" i="3"/>
  <c r="H33" i="3"/>
  <c r="H34" i="3"/>
  <c r="H35" i="3"/>
  <c r="H26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4" i="3"/>
  <c r="M2" i="2"/>
  <c r="M35" i="2"/>
  <c r="M24" i="2"/>
  <c r="M26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5" i="2"/>
  <c r="M27" i="2"/>
  <c r="M28" i="2"/>
  <c r="M29" i="2"/>
  <c r="M30" i="2"/>
  <c r="M31" i="2"/>
  <c r="M32" i="2"/>
  <c r="M33" i="2"/>
  <c r="M34" i="2"/>
  <c r="M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M21" i="1"/>
  <c r="N14" i="1"/>
  <c r="N15" i="1"/>
  <c r="N16" i="1"/>
  <c r="N17" i="1"/>
  <c r="N18" i="1"/>
  <c r="M20" i="1"/>
  <c r="M15" i="1"/>
  <c r="M16" i="1"/>
  <c r="M17" i="1"/>
  <c r="M18" i="1"/>
  <c r="M14" i="1"/>
  <c r="N11" i="1"/>
  <c r="N10" i="1"/>
  <c r="N4" i="1"/>
  <c r="N5" i="1"/>
  <c r="N6" i="1"/>
  <c r="N7" i="1"/>
  <c r="N8" i="1"/>
  <c r="M10" i="1"/>
  <c r="M11" i="1" s="1"/>
  <c r="M8" i="1"/>
  <c r="M7" i="1"/>
  <c r="M6" i="1"/>
  <c r="M5" i="1"/>
  <c r="M4" i="1"/>
  <c r="E36" i="1"/>
  <c r="E35" i="1"/>
  <c r="C36" i="1"/>
  <c r="C35" i="1"/>
  <c r="B36" i="1"/>
  <c r="B35" i="1"/>
  <c r="H3" i="3" l="1"/>
</calcChain>
</file>

<file path=xl/sharedStrings.xml><?xml version="1.0" encoding="utf-8"?>
<sst xmlns="http://schemas.openxmlformats.org/spreadsheetml/2006/main" count="830" uniqueCount="135">
  <si>
    <t>SGG</t>
  </si>
  <si>
    <t>techP</t>
  </si>
  <si>
    <t>marketP</t>
  </si>
  <si>
    <t>Gen</t>
  </si>
  <si>
    <t>utilRate</t>
  </si>
  <si>
    <t>popDensity</t>
  </si>
  <si>
    <t>area</t>
  </si>
  <si>
    <t>Gyeonggi-do</t>
  </si>
  <si>
    <t>Yeoncheon-gun</t>
  </si>
  <si>
    <t>Paju-si</t>
  </si>
  <si>
    <t>Anseong-si</t>
  </si>
  <si>
    <t>Hwaseong-si</t>
  </si>
  <si>
    <t>Pocheon-si</t>
  </si>
  <si>
    <t>Yeoju-si</t>
  </si>
  <si>
    <t>Yangpyeong-gun</t>
  </si>
  <si>
    <t>Gapyeong-gun</t>
  </si>
  <si>
    <t>Icheon-si</t>
  </si>
  <si>
    <t>Yongin-si</t>
  </si>
  <si>
    <t>Pyeongtaek-si</t>
  </si>
  <si>
    <t>Ansan-si</t>
  </si>
  <si>
    <t>Namyangju-si</t>
  </si>
  <si>
    <t>Gimpo-si</t>
  </si>
  <si>
    <t>Siheung-si</t>
  </si>
  <si>
    <t>Yangju-si</t>
  </si>
  <si>
    <t>Goyang-si</t>
  </si>
  <si>
    <t>Suwon-si</t>
  </si>
  <si>
    <t>Seongnam-si</t>
  </si>
  <si>
    <t>Bucheon-si</t>
  </si>
  <si>
    <t>Hanam-si</t>
  </si>
  <si>
    <t>Uijeongbu-si</t>
  </si>
  <si>
    <t>Anyang-si</t>
  </si>
  <si>
    <t>Dongducheon-si</t>
  </si>
  <si>
    <t>Uiwang-si</t>
  </si>
  <si>
    <t>Osan-si</t>
  </si>
  <si>
    <t>Gunpo-si</t>
  </si>
  <si>
    <t>Gwangmyeong-si</t>
  </si>
  <si>
    <t>Guri-si</t>
  </si>
  <si>
    <t>Gwacheon-si</t>
  </si>
  <si>
    <t>Gwangju-si</t>
  </si>
  <si>
    <t>화성</t>
    <phoneticPr fontId="18" type="noConversion"/>
  </si>
  <si>
    <t>평택</t>
    <phoneticPr fontId="18" type="noConversion"/>
  </si>
  <si>
    <t>파주</t>
    <phoneticPr fontId="18" type="noConversion"/>
  </si>
  <si>
    <t>여주</t>
    <phoneticPr fontId="18" type="noConversion"/>
  </si>
  <si>
    <t>이천</t>
    <phoneticPr fontId="18" type="noConversion"/>
  </si>
  <si>
    <t>안성</t>
    <phoneticPr fontId="18" type="noConversion"/>
  </si>
  <si>
    <t>연천</t>
    <phoneticPr fontId="18" type="noConversion"/>
  </si>
  <si>
    <t>포천</t>
    <phoneticPr fontId="18" type="noConversion"/>
  </si>
  <si>
    <t>시장잠재 상위 5</t>
    <phoneticPr fontId="18" type="noConversion"/>
  </si>
  <si>
    <t>기술잠재 상위 5</t>
    <phoneticPr fontId="18" type="noConversion"/>
  </si>
  <si>
    <t>대표 4개 시군</t>
    <phoneticPr fontId="18" type="noConversion"/>
  </si>
  <si>
    <t>과천</t>
    <phoneticPr fontId="18" type="noConversion"/>
  </si>
  <si>
    <t>기술</t>
    <phoneticPr fontId="18" type="noConversion"/>
  </si>
  <si>
    <t>시장</t>
    <phoneticPr fontId="18" type="noConversion"/>
  </si>
  <si>
    <t>high</t>
    <phoneticPr fontId="18" type="noConversion"/>
  </si>
  <si>
    <t>low</t>
    <phoneticPr fontId="18" type="noConversion"/>
  </si>
  <si>
    <t>전체</t>
  </si>
  <si>
    <t>수원시</t>
  </si>
  <si>
    <t>용인시</t>
  </si>
  <si>
    <t>성남시</t>
  </si>
  <si>
    <t>부천시</t>
  </si>
  <si>
    <t>화성시</t>
  </si>
  <si>
    <t>안산시</t>
  </si>
  <si>
    <t>안양시</t>
  </si>
  <si>
    <t>평택시</t>
  </si>
  <si>
    <t>시흥시</t>
  </si>
  <si>
    <t>김포시</t>
  </si>
  <si>
    <t>광주시</t>
  </si>
  <si>
    <t>광명시</t>
  </si>
  <si>
    <t>군포시</t>
  </si>
  <si>
    <t>하남시</t>
  </si>
  <si>
    <t>오산시</t>
  </si>
  <si>
    <t>이천시</t>
  </si>
  <si>
    <t>안성시</t>
  </si>
  <si>
    <t>의왕시</t>
  </si>
  <si>
    <t>양평군</t>
  </si>
  <si>
    <t>여주시</t>
  </si>
  <si>
    <t>과천시</t>
  </si>
  <si>
    <t>경기남부</t>
  </si>
  <si>
    <t>고양시</t>
  </si>
  <si>
    <t>파주시</t>
  </si>
  <si>
    <t>양주시</t>
  </si>
  <si>
    <t>구리시</t>
  </si>
  <si>
    <t>포천시</t>
  </si>
  <si>
    <t>가평군</t>
  </si>
  <si>
    <t>연천군</t>
  </si>
  <si>
    <t>경기북부</t>
  </si>
  <si>
    <t>연천군</t>
    <phoneticPr fontId="18" type="noConversion"/>
  </si>
  <si>
    <t>파주시</t>
    <phoneticPr fontId="18" type="noConversion"/>
  </si>
  <si>
    <t>안성시</t>
    <phoneticPr fontId="18" type="noConversion"/>
  </si>
  <si>
    <t>화성시</t>
    <phoneticPr fontId="18" type="noConversion"/>
  </si>
  <si>
    <t>포천시</t>
    <phoneticPr fontId="18" type="noConversion"/>
  </si>
  <si>
    <t>여주시</t>
    <phoneticPr fontId="18" type="noConversion"/>
  </si>
  <si>
    <t>양평군</t>
    <phoneticPr fontId="18" type="noConversion"/>
  </si>
  <si>
    <t>가평군</t>
    <phoneticPr fontId="18" type="noConversion"/>
  </si>
  <si>
    <t>이천시</t>
    <phoneticPr fontId="18" type="noConversion"/>
  </si>
  <si>
    <t>용인시</t>
    <phoneticPr fontId="18" type="noConversion"/>
  </si>
  <si>
    <t>평택시</t>
    <phoneticPr fontId="18" type="noConversion"/>
  </si>
  <si>
    <t>안산시</t>
    <phoneticPr fontId="18" type="noConversion"/>
  </si>
  <si>
    <t>남양주시</t>
  </si>
  <si>
    <t>남양주시</t>
    <phoneticPr fontId="18" type="noConversion"/>
  </si>
  <si>
    <t>김포시</t>
    <phoneticPr fontId="18" type="noConversion"/>
  </si>
  <si>
    <t>시흥시</t>
    <phoneticPr fontId="18" type="noConversion"/>
  </si>
  <si>
    <t>양주시</t>
    <phoneticPr fontId="18" type="noConversion"/>
  </si>
  <si>
    <t>고양시</t>
    <phoneticPr fontId="18" type="noConversion"/>
  </si>
  <si>
    <t>수원시</t>
    <phoneticPr fontId="18" type="noConversion"/>
  </si>
  <si>
    <t>성남시</t>
    <phoneticPr fontId="18" type="noConversion"/>
  </si>
  <si>
    <t>부천시</t>
    <phoneticPr fontId="18" type="noConversion"/>
  </si>
  <si>
    <t>하남시</t>
    <phoneticPr fontId="18" type="noConversion"/>
  </si>
  <si>
    <t>의정부시</t>
  </si>
  <si>
    <t>의정부시</t>
    <phoneticPr fontId="18" type="noConversion"/>
  </si>
  <si>
    <t>안양시</t>
    <phoneticPr fontId="18" type="noConversion"/>
  </si>
  <si>
    <t>동두천시</t>
  </si>
  <si>
    <t>동두천시</t>
    <phoneticPr fontId="18" type="noConversion"/>
  </si>
  <si>
    <t>의왕시</t>
    <phoneticPr fontId="18" type="noConversion"/>
  </si>
  <si>
    <t>오산시</t>
    <phoneticPr fontId="18" type="noConversion"/>
  </si>
  <si>
    <t>군포시</t>
    <phoneticPr fontId="18" type="noConversion"/>
  </si>
  <si>
    <t>광명시</t>
    <phoneticPr fontId="18" type="noConversion"/>
  </si>
  <si>
    <t>구리시</t>
    <phoneticPr fontId="18" type="noConversion"/>
  </si>
  <si>
    <t>과천시</t>
    <phoneticPr fontId="18" type="noConversion"/>
  </si>
  <si>
    <t>광주시</t>
    <phoneticPr fontId="18" type="noConversion"/>
  </si>
  <si>
    <t>SGG</t>
    <phoneticPr fontId="18" type="noConversion"/>
  </si>
  <si>
    <t>class</t>
    <phoneticPr fontId="18" type="noConversion"/>
  </si>
  <si>
    <t>type</t>
    <phoneticPr fontId="18" type="noConversion"/>
  </si>
  <si>
    <t>value</t>
    <phoneticPr fontId="18" type="noConversion"/>
  </si>
  <si>
    <t>units</t>
    <phoneticPr fontId="18" type="noConversion"/>
  </si>
  <si>
    <t>tech</t>
    <phoneticPr fontId="18" type="noConversion"/>
  </si>
  <si>
    <t>grmt_PV</t>
    <phoneticPr fontId="18" type="noConversion"/>
  </si>
  <si>
    <t>MWh</t>
    <phoneticPr fontId="18" type="noConversion"/>
  </si>
  <si>
    <t>rooftop_PV</t>
    <phoneticPr fontId="18" type="noConversion"/>
  </si>
  <si>
    <t>기술적잠재량</t>
    <phoneticPr fontId="18" type="noConversion"/>
  </si>
  <si>
    <t>지상형</t>
    <phoneticPr fontId="18" type="noConversion"/>
  </si>
  <si>
    <t>옥상형</t>
    <phoneticPr fontId="18" type="noConversion"/>
  </si>
  <si>
    <t>market</t>
    <phoneticPr fontId="18" type="noConversion"/>
  </si>
  <si>
    <t>시장잠재량</t>
    <phoneticPr fontId="18" type="noConversion"/>
  </si>
  <si>
    <t>합계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</si>
</sst>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_-;\-* #,##0.0_-;_-* &quot;-&quot;_-;_-@_-"/>
    <numFmt numFmtId="177" formatCode="0.0%"/>
    <numFmt numFmtId="178" formatCode="0.0"/>
  </numFmts>
  <fonts count="2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b/>
      <sz val="8"/>
      <color rgb="FFFF0000"/>
      <name val="경기천년제목 Light"/>
      <family val="1"/>
      <charset val="129"/>
    </font>
    <font>
      <sz val="8"/>
      <color rgb="FF003B68"/>
      <name val="경기천년제목 Light"/>
      <family val="1"/>
      <charset val="129"/>
    </font>
    <font>
      <b/>
      <sz val="8"/>
      <color rgb="FF003B68"/>
      <name val="경기천년제목 Light"/>
      <family val="1"/>
      <charset val="129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E7E6E6"/>
      </left>
      <right style="medium">
        <color rgb="FFE7E6E6"/>
      </right>
      <top style="medium">
        <color rgb="FFE7E6E6"/>
      </top>
      <bottom style="medium">
        <color rgb="FFE7E6E6"/>
      </bottom>
      <diagonal/>
    </border>
  </borders>
  <cellStyleXfs count="4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41" fontId="0" fillId="0" borderId="0" xfId="1" applyFont="1">
      <alignment vertical="center"/>
    </xf>
    <xf numFmtId="176" fontId="0" fillId="0" borderId="0" xfId="1" applyNumberFormat="1" applyFont="1">
      <alignment vertical="center"/>
    </xf>
    <xf numFmtId="41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43" applyNumberFormat="1" applyFont="1">
      <alignment vertical="center"/>
    </xf>
    <xf numFmtId="0" fontId="0" fillId="33" borderId="0" xfId="0" applyFill="1">
      <alignment vertical="center"/>
    </xf>
    <xf numFmtId="41" fontId="0" fillId="33" borderId="0" xfId="1" applyFont="1" applyFill="1">
      <alignment vertical="center"/>
    </xf>
    <xf numFmtId="176" fontId="0" fillId="33" borderId="0" xfId="1" applyNumberFormat="1" applyFont="1" applyFill="1">
      <alignment vertical="center"/>
    </xf>
    <xf numFmtId="0" fontId="0" fillId="0" borderId="0" xfId="0" applyAlignment="1"/>
    <xf numFmtId="0" fontId="19" fillId="0" borderId="0" xfId="0" applyFont="1" applyAlignment="1"/>
    <xf numFmtId="178" fontId="0" fillId="0" borderId="0" xfId="0" applyNumberFormat="1">
      <alignment vertical="center"/>
    </xf>
    <xf numFmtId="0" fontId="0" fillId="34" borderId="0" xfId="0" applyFill="1">
      <alignment vertical="center"/>
    </xf>
    <xf numFmtId="0" fontId="20" fillId="35" borderId="10" xfId="0" applyFont="1" applyFill="1" applyBorder="1" applyAlignment="1">
      <alignment horizontal="center" vertical="center" wrapText="1" readingOrder="1"/>
    </xf>
    <xf numFmtId="0" fontId="21" fillId="35" borderId="10" xfId="0" applyFont="1" applyFill="1" applyBorder="1" applyAlignment="1">
      <alignment horizontal="center" vertical="center" wrapText="1" readingOrder="1"/>
    </xf>
    <xf numFmtId="0" fontId="22" fillId="35" borderId="10" xfId="0" applyFont="1" applyFill="1" applyBorder="1" applyAlignment="1">
      <alignment horizontal="center" vertical="center" wrapText="1" readingOrder="1"/>
    </xf>
  </cellXfs>
  <cellStyles count="44">
    <cellStyle name="20% - 강조색1" xfId="20" builtinId="30" customBuiltin="1"/>
    <cellStyle name="20% - 강조색2" xfId="24" builtinId="34" customBuiltin="1"/>
    <cellStyle name="20% - 강조색3" xfId="28" builtinId="38" customBuiltin="1"/>
    <cellStyle name="20% - 강조색4" xfId="32" builtinId="42" customBuiltin="1"/>
    <cellStyle name="20% - 강조색5" xfId="36" builtinId="46" customBuiltin="1"/>
    <cellStyle name="20% - 강조색6" xfId="40" builtinId="50" customBuiltin="1"/>
    <cellStyle name="40% - 강조색1" xfId="21" builtinId="31" customBuiltin="1"/>
    <cellStyle name="40% - 강조색2" xfId="25" builtinId="35" customBuiltin="1"/>
    <cellStyle name="40% - 강조색3" xfId="29" builtinId="39" customBuiltin="1"/>
    <cellStyle name="40% - 강조색4" xfId="33" builtinId="43" customBuiltin="1"/>
    <cellStyle name="40% - 강조색5" xfId="37" builtinId="47" customBuiltin="1"/>
    <cellStyle name="40% - 강조색6" xfId="41" builtinId="51" customBuiltin="1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5" builtinId="11" customBuiltin="1"/>
    <cellStyle name="계산" xfId="12" builtinId="22" customBuiltin="1"/>
    <cellStyle name="나쁨" xfId="8" builtinId="27" customBuiltin="1"/>
    <cellStyle name="메모" xfId="16" builtinId="10" customBuiltin="1"/>
    <cellStyle name="백분율" xfId="43" builtinId="5"/>
    <cellStyle name="보통" xfId="9" builtinId="28" customBuiltin="1"/>
    <cellStyle name="설명 텍스트" xfId="17" builtinId="53" customBuiltin="1"/>
    <cellStyle name="셀 확인" xfId="14" builtinId="23" customBuiltin="1"/>
    <cellStyle name="쉼표 [0]" xfId="1" builtinId="6"/>
    <cellStyle name="연결된 셀" xfId="13" builtinId="24" customBuiltin="1"/>
    <cellStyle name="요약" xfId="18" builtinId="25" customBuiltin="1"/>
    <cellStyle name="입력" xfId="10" builtinId="20" customBuiltin="1"/>
    <cellStyle name="제목" xfId="2" builtinId="15" customBuiltin="1"/>
    <cellStyle name="제목 1" xfId="3" builtinId="16" customBuiltin="1"/>
    <cellStyle name="제목 2" xfId="4" builtinId="17" customBuiltin="1"/>
    <cellStyle name="제목 3" xfId="5" builtinId="18" customBuiltin="1"/>
    <cellStyle name="제목 4" xfId="6" builtinId="19" customBuiltin="1"/>
    <cellStyle name="좋음" xfId="7" builtinId="26" customBuiltin="1"/>
    <cellStyle name="출력" xfId="11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09CA-7FF8-4946-99C7-DBD5C779B18F}">
  <dimension ref="A1:Q36"/>
  <sheetViews>
    <sheetView zoomScale="85" zoomScaleNormal="85" workbookViewId="0">
      <selection activeCell="I45" sqref="I45"/>
    </sheetView>
  </sheetViews>
  <sheetFormatPr defaultRowHeight="16.5" x14ac:dyDescent="0.3"/>
  <cols>
    <col min="1" max="1" width="17.125" bestFit="1" customWidth="1"/>
    <col min="2" max="2" width="9.875" bestFit="1" customWidth="1"/>
    <col min="3" max="7" width="9.125" bestFit="1" customWidth="1"/>
    <col min="9" max="9" width="15.5" bestFit="1" customWidth="1"/>
    <col min="12" max="12" width="9.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7" x14ac:dyDescent="0.3">
      <c r="A2" t="s">
        <v>7</v>
      </c>
      <c r="B2" s="1">
        <v>387583.65406548802</v>
      </c>
      <c r="C2" s="1">
        <v>49614.241540900897</v>
      </c>
      <c r="D2" s="1">
        <v>2339.5647593723402</v>
      </c>
      <c r="E2" s="2">
        <v>4.7155104798763396</v>
      </c>
      <c r="F2" s="1">
        <v>1389.0863882690501</v>
      </c>
      <c r="G2" s="1">
        <v>10195.25</v>
      </c>
    </row>
    <row r="3" spans="1:17" x14ac:dyDescent="0.3">
      <c r="A3" s="6" t="s">
        <v>8</v>
      </c>
      <c r="B3" s="7">
        <v>17432.998632536499</v>
      </c>
      <c r="C3" s="7">
        <v>6888.4946280163804</v>
      </c>
      <c r="D3" s="7">
        <v>200.52987717408601</v>
      </c>
      <c r="E3" s="8">
        <v>2.9110841773542999</v>
      </c>
      <c r="F3" s="7">
        <v>62.413686031553603</v>
      </c>
      <c r="G3" s="7">
        <v>676.31</v>
      </c>
      <c r="H3" s="5">
        <f>B3/$B$2</f>
        <v>4.4978673506161158E-2</v>
      </c>
      <c r="I3" s="5">
        <f>C3/$C$2</f>
        <v>0.1388410749429205</v>
      </c>
    </row>
    <row r="4" spans="1:17" x14ac:dyDescent="0.3">
      <c r="A4" s="6" t="s">
        <v>9</v>
      </c>
      <c r="B4" s="7">
        <v>27859.096446789699</v>
      </c>
      <c r="C4" s="7">
        <v>4739.57731109428</v>
      </c>
      <c r="D4" s="7">
        <v>124.842385072017</v>
      </c>
      <c r="E4" s="8">
        <v>2.6340404824664199</v>
      </c>
      <c r="F4" s="7">
        <v>781.726174576321</v>
      </c>
      <c r="G4" s="7">
        <v>673.86</v>
      </c>
      <c r="H4" s="5">
        <f t="shared" ref="H4:H33" si="0">B4/$B$2</f>
        <v>7.1878925116079559E-2</v>
      </c>
      <c r="I4" s="5">
        <f t="shared" ref="I4:I33" si="1">C4/$C$2</f>
        <v>9.5528565264614118E-2</v>
      </c>
      <c r="K4" t="s">
        <v>48</v>
      </c>
      <c r="L4" t="s">
        <v>39</v>
      </c>
      <c r="M4" s="3">
        <f>B6</f>
        <v>43644.666334179099</v>
      </c>
      <c r="N4" s="3">
        <f>G6</f>
        <v>698.18</v>
      </c>
      <c r="O4" s="3"/>
    </row>
    <row r="5" spans="1:17" x14ac:dyDescent="0.3">
      <c r="A5" t="s">
        <v>10</v>
      </c>
      <c r="B5" s="1">
        <v>25429.588350730799</v>
      </c>
      <c r="C5" s="1">
        <v>4489.8729396702502</v>
      </c>
      <c r="D5" s="1">
        <v>193.04995364891801</v>
      </c>
      <c r="E5" s="2">
        <v>4.2996752078043503</v>
      </c>
      <c r="F5" s="1">
        <v>377.36241101434598</v>
      </c>
      <c r="G5" s="1">
        <v>553.46</v>
      </c>
      <c r="H5" s="5">
        <f t="shared" si="0"/>
        <v>6.5610580023155701E-2</v>
      </c>
      <c r="I5" s="5">
        <f t="shared" si="1"/>
        <v>9.0495648028175474E-2</v>
      </c>
      <c r="L5" t="s">
        <v>40</v>
      </c>
      <c r="M5" s="3">
        <f>B13</f>
        <v>28958.9180438609</v>
      </c>
      <c r="N5" s="3">
        <f>G13</f>
        <v>458.24</v>
      </c>
      <c r="O5" s="3"/>
    </row>
    <row r="6" spans="1:17" x14ac:dyDescent="0.3">
      <c r="A6" t="s">
        <v>11</v>
      </c>
      <c r="B6" s="1">
        <v>43644.666334179099</v>
      </c>
      <c r="C6" s="1">
        <v>4238.9474796600098</v>
      </c>
      <c r="D6" s="1">
        <v>303.78196328151</v>
      </c>
      <c r="E6" s="2">
        <v>7.1664479151762297</v>
      </c>
      <c r="F6" s="1">
        <v>1460.76942908705</v>
      </c>
      <c r="G6" s="1">
        <v>698.18</v>
      </c>
      <c r="H6" s="5">
        <f t="shared" si="0"/>
        <v>0.11260708720911301</v>
      </c>
      <c r="I6" s="5">
        <f t="shared" si="1"/>
        <v>8.5438119136931959E-2</v>
      </c>
      <c r="L6" t="s">
        <v>41</v>
      </c>
      <c r="M6" s="3">
        <f>B4</f>
        <v>27859.096446789699</v>
      </c>
      <c r="N6" s="3">
        <f>G4</f>
        <v>673.86</v>
      </c>
      <c r="O6" s="3"/>
    </row>
    <row r="7" spans="1:17" x14ac:dyDescent="0.3">
      <c r="A7" t="s">
        <v>12</v>
      </c>
      <c r="B7" s="1">
        <v>20648.877437770501</v>
      </c>
      <c r="C7" s="1">
        <v>4065.4091968193402</v>
      </c>
      <c r="D7" s="1">
        <v>143.05159450003001</v>
      </c>
      <c r="E7" s="2">
        <v>3.51875020630025</v>
      </c>
      <c r="F7" s="1">
        <v>190.806738339118</v>
      </c>
      <c r="G7" s="1">
        <v>826.91</v>
      </c>
      <c r="H7" s="5">
        <f t="shared" si="0"/>
        <v>5.3275924361561353E-2</v>
      </c>
      <c r="I7" s="5">
        <f t="shared" si="1"/>
        <v>8.1940367736306224E-2</v>
      </c>
      <c r="L7" t="s">
        <v>42</v>
      </c>
      <c r="M7" s="3">
        <f>B8</f>
        <v>26684.6676620863</v>
      </c>
      <c r="N7" s="3">
        <f>G8</f>
        <v>608.26</v>
      </c>
      <c r="O7" s="3"/>
    </row>
    <row r="8" spans="1:17" x14ac:dyDescent="0.3">
      <c r="A8" t="s">
        <v>13</v>
      </c>
      <c r="B8" s="1">
        <v>26684.6676620863</v>
      </c>
      <c r="C8" s="1">
        <v>2686.8530350442202</v>
      </c>
      <c r="D8" s="1">
        <v>211.748602161138</v>
      </c>
      <c r="E8" s="2">
        <v>7.8809149365198996</v>
      </c>
      <c r="F8" s="1">
        <v>196.16940124288999</v>
      </c>
      <c r="G8" s="1">
        <v>608.26</v>
      </c>
      <c r="H8" s="5">
        <f t="shared" si="0"/>
        <v>6.8848795304400343E-2</v>
      </c>
      <c r="I8" s="5">
        <f t="shared" si="1"/>
        <v>5.4154874721388961E-2</v>
      </c>
      <c r="L8" t="s">
        <v>43</v>
      </c>
      <c r="M8" s="3">
        <f>B11</f>
        <v>26240.247698726602</v>
      </c>
      <c r="N8" s="3">
        <f>G11</f>
        <v>461.43</v>
      </c>
      <c r="O8" s="3"/>
    </row>
    <row r="9" spans="1:17" x14ac:dyDescent="0.3">
      <c r="A9" t="s">
        <v>14</v>
      </c>
      <c r="B9" s="1">
        <v>17617.856786810298</v>
      </c>
      <c r="C9" s="1">
        <v>2235.1513640718999</v>
      </c>
      <c r="D9" s="1">
        <v>65.627789593059703</v>
      </c>
      <c r="E9" s="2">
        <v>2.93616757450833</v>
      </c>
      <c r="F9" s="1">
        <v>146.358053526872</v>
      </c>
      <c r="G9" s="1">
        <v>877.69</v>
      </c>
      <c r="H9" s="5">
        <f t="shared" si="0"/>
        <v>4.5455623842778209E-2</v>
      </c>
      <c r="I9" s="5">
        <f t="shared" si="1"/>
        <v>4.5050600284381855E-2</v>
      </c>
      <c r="M9" s="3"/>
    </row>
    <row r="10" spans="1:17" x14ac:dyDescent="0.3">
      <c r="A10" t="s">
        <v>15</v>
      </c>
      <c r="B10" s="1">
        <v>9318.7184945355693</v>
      </c>
      <c r="C10" s="1">
        <v>2021.8840890173999</v>
      </c>
      <c r="D10" s="1">
        <v>55.418143925696299</v>
      </c>
      <c r="E10" s="2">
        <v>2.7409159717275702</v>
      </c>
      <c r="F10" s="1">
        <v>75.638290306521597</v>
      </c>
      <c r="G10" s="1">
        <v>843.66</v>
      </c>
      <c r="H10" s="5">
        <f t="shared" si="0"/>
        <v>2.4043115329525824E-2</v>
      </c>
      <c r="I10" s="5">
        <f t="shared" si="1"/>
        <v>4.0752091057375185E-2</v>
      </c>
      <c r="M10" s="3">
        <f>SUM(M4:M8)</f>
        <v>153387.59618564261</v>
      </c>
      <c r="N10" s="3">
        <f>SUM(N4:N8)</f>
        <v>2899.97</v>
      </c>
    </row>
    <row r="11" spans="1:17" x14ac:dyDescent="0.3">
      <c r="A11" s="6" t="s">
        <v>16</v>
      </c>
      <c r="B11" s="7">
        <v>26240.247698726602</v>
      </c>
      <c r="C11" s="7">
        <v>1888.48615921071</v>
      </c>
      <c r="D11" s="7">
        <v>189.991179857481</v>
      </c>
      <c r="E11" s="8">
        <v>10.0605015785177</v>
      </c>
      <c r="F11" s="7">
        <v>504.68110005851401</v>
      </c>
      <c r="G11" s="7">
        <v>461.43</v>
      </c>
      <c r="H11" s="5">
        <f t="shared" si="0"/>
        <v>6.7702152615272376E-2</v>
      </c>
      <c r="I11" s="5">
        <f t="shared" si="1"/>
        <v>3.8063388667422905E-2</v>
      </c>
      <c r="M11" s="5">
        <f>M10/B2</f>
        <v>0.39575352205055969</v>
      </c>
      <c r="N11" s="5">
        <f>N10/G2</f>
        <v>0.28444324562909196</v>
      </c>
    </row>
    <row r="12" spans="1:17" x14ac:dyDescent="0.3">
      <c r="A12" t="s">
        <v>17</v>
      </c>
      <c r="B12" s="1">
        <v>23683.462181259201</v>
      </c>
      <c r="C12" s="1">
        <v>1781.3029973979101</v>
      </c>
      <c r="D12" s="1">
        <v>83.206348223266303</v>
      </c>
      <c r="E12" s="2">
        <v>4.6710946057359397</v>
      </c>
      <c r="F12" s="1">
        <v>1871.9838303198401</v>
      </c>
      <c r="G12" s="1">
        <v>591.23</v>
      </c>
      <c r="H12" s="5">
        <f t="shared" si="0"/>
        <v>6.1105420553307255E-2</v>
      </c>
      <c r="I12" s="5">
        <f t="shared" si="1"/>
        <v>3.590305811546958E-2</v>
      </c>
    </row>
    <row r="13" spans="1:17" x14ac:dyDescent="0.3">
      <c r="A13" t="s">
        <v>18</v>
      </c>
      <c r="B13" s="1">
        <v>28958.9180438609</v>
      </c>
      <c r="C13" s="1">
        <v>1638.1931676721499</v>
      </c>
      <c r="D13" s="1">
        <v>152.48619505923901</v>
      </c>
      <c r="E13" s="2">
        <v>9.3081938118396401</v>
      </c>
      <c r="F13" s="1">
        <v>1377.10588337989</v>
      </c>
      <c r="G13" s="1">
        <v>458.24</v>
      </c>
      <c r="H13" s="5">
        <f t="shared" si="0"/>
        <v>7.4716561805694359E-2</v>
      </c>
      <c r="I13" s="5">
        <f t="shared" si="1"/>
        <v>3.3018607496431429E-2</v>
      </c>
    </row>
    <row r="14" spans="1:17" x14ac:dyDescent="0.3">
      <c r="A14" t="s">
        <v>19</v>
      </c>
      <c r="B14" s="1">
        <v>8735.84260963423</v>
      </c>
      <c r="C14" s="1">
        <v>1445.96047315073</v>
      </c>
      <c r="D14" s="1">
        <v>62.696000000093903</v>
      </c>
      <c r="E14" s="2">
        <v>4.3359414841734996</v>
      </c>
      <c r="F14" s="1">
        <v>4316.6314846798396</v>
      </c>
      <c r="G14" s="1">
        <v>156.33000000000001</v>
      </c>
      <c r="H14" s="5">
        <f t="shared" si="0"/>
        <v>2.2539244155426068E-2</v>
      </c>
      <c r="I14" s="5">
        <f t="shared" si="1"/>
        <v>2.9144060822913351E-2</v>
      </c>
      <c r="K14" t="s">
        <v>47</v>
      </c>
      <c r="L14" t="s">
        <v>45</v>
      </c>
      <c r="M14" s="3">
        <f>C3</f>
        <v>6888.4946280163804</v>
      </c>
      <c r="N14" s="3">
        <f>F3</f>
        <v>62.413686031553603</v>
      </c>
      <c r="O14" s="3"/>
      <c r="P14" s="3"/>
      <c r="Q14" s="3"/>
    </row>
    <row r="15" spans="1:17" x14ac:dyDescent="0.3">
      <c r="A15" t="s">
        <v>20</v>
      </c>
      <c r="B15" s="1">
        <v>12490.1088525041</v>
      </c>
      <c r="C15" s="1">
        <v>1428.0041416311201</v>
      </c>
      <c r="D15" s="1">
        <v>49.546685923458199</v>
      </c>
      <c r="E15" s="2">
        <v>3.4696458139725102</v>
      </c>
      <c r="F15" s="1">
        <v>1619.0138385646301</v>
      </c>
      <c r="G15" s="1">
        <v>458.14</v>
      </c>
      <c r="H15" s="5">
        <f t="shared" si="0"/>
        <v>3.2225582068519616E-2</v>
      </c>
      <c r="I15" s="5">
        <f t="shared" si="1"/>
        <v>2.8782141927009095E-2</v>
      </c>
      <c r="L15" t="s">
        <v>41</v>
      </c>
      <c r="M15" s="3">
        <f>C4</f>
        <v>4739.57731109428</v>
      </c>
      <c r="N15" s="3">
        <f>F4</f>
        <v>781.726174576321</v>
      </c>
      <c r="O15" s="3"/>
      <c r="P15" s="3"/>
      <c r="Q15" s="3"/>
    </row>
    <row r="16" spans="1:17" x14ac:dyDescent="0.3">
      <c r="A16" t="s">
        <v>21</v>
      </c>
      <c r="B16" s="1">
        <v>15649.288137858201</v>
      </c>
      <c r="C16" s="1">
        <v>1353.3915093660401</v>
      </c>
      <c r="D16" s="1">
        <v>94.653561543461095</v>
      </c>
      <c r="E16" s="2">
        <v>6.9938048885646804</v>
      </c>
      <c r="F16" s="1">
        <v>1852.6481327500801</v>
      </c>
      <c r="G16" s="1">
        <v>276.61</v>
      </c>
      <c r="H16" s="5">
        <f t="shared" si="0"/>
        <v>4.0376543163541209E-2</v>
      </c>
      <c r="I16" s="5">
        <f t="shared" si="1"/>
        <v>2.7278286784860627E-2</v>
      </c>
      <c r="L16" t="s">
        <v>44</v>
      </c>
      <c r="M16" s="3">
        <f>C5</f>
        <v>4489.8729396702502</v>
      </c>
      <c r="N16" s="3">
        <f>F5</f>
        <v>377.36241101434598</v>
      </c>
      <c r="O16" s="3"/>
      <c r="P16" s="3"/>
      <c r="Q16" s="3"/>
    </row>
    <row r="17" spans="1:17" x14ac:dyDescent="0.3">
      <c r="A17" t="s">
        <v>22</v>
      </c>
      <c r="B17" s="1">
        <v>8426.6687490545301</v>
      </c>
      <c r="C17" s="1">
        <v>1241.45046094799</v>
      </c>
      <c r="D17" s="1">
        <v>53.734876295289503</v>
      </c>
      <c r="E17" s="2">
        <v>4.3283947274268799</v>
      </c>
      <c r="F17" s="1">
        <v>3999.3198739977101</v>
      </c>
      <c r="G17" s="1">
        <v>139.68</v>
      </c>
      <c r="H17" s="5">
        <f t="shared" si="0"/>
        <v>2.1741548335861241E-2</v>
      </c>
      <c r="I17" s="5">
        <f t="shared" si="1"/>
        <v>2.5022058634607269E-2</v>
      </c>
      <c r="L17" t="s">
        <v>39</v>
      </c>
      <c r="M17" s="3">
        <f>C6</f>
        <v>4238.9474796600098</v>
      </c>
      <c r="N17" s="3">
        <f>F6</f>
        <v>1460.76942908705</v>
      </c>
      <c r="O17" s="3"/>
      <c r="P17" s="3"/>
      <c r="Q17" s="3"/>
    </row>
    <row r="18" spans="1:17" x14ac:dyDescent="0.3">
      <c r="A18" t="s">
        <v>23</v>
      </c>
      <c r="B18" s="1">
        <v>11308.1250705724</v>
      </c>
      <c r="C18" s="1">
        <v>1206.64257442045</v>
      </c>
      <c r="D18" s="1">
        <v>53.6694290761357</v>
      </c>
      <c r="E18" s="2">
        <v>4.44783154629806</v>
      </c>
      <c r="F18" s="1">
        <v>962.81931514351095</v>
      </c>
      <c r="G18" s="1">
        <v>310.43</v>
      </c>
      <c r="H18" s="5">
        <f t="shared" si="0"/>
        <v>2.9175959697881695E-2</v>
      </c>
      <c r="I18" s="5">
        <f t="shared" si="1"/>
        <v>2.4320488169222949E-2</v>
      </c>
      <c r="L18" t="s">
        <v>46</v>
      </c>
      <c r="M18" s="3">
        <f>C7</f>
        <v>4065.4091968193402</v>
      </c>
      <c r="N18" s="3">
        <f>F7</f>
        <v>190.806738339118</v>
      </c>
      <c r="O18" s="3"/>
      <c r="P18" s="3"/>
      <c r="Q18" s="3"/>
    </row>
    <row r="19" spans="1:17" x14ac:dyDescent="0.3">
      <c r="A19" t="s">
        <v>24</v>
      </c>
      <c r="B19" s="1">
        <v>13994.3635699648</v>
      </c>
      <c r="C19" s="1">
        <v>1181.9954066329101</v>
      </c>
      <c r="D19" s="1">
        <v>58.779017525752899</v>
      </c>
      <c r="E19" s="2">
        <v>4.9728634473456701</v>
      </c>
      <c r="F19" s="1">
        <v>4043.3420365535198</v>
      </c>
      <c r="G19" s="1">
        <v>268.10000000000002</v>
      </c>
      <c r="H19" s="5">
        <f t="shared" si="0"/>
        <v>3.6106691866835655E-2</v>
      </c>
      <c r="I19" s="5">
        <f t="shared" si="1"/>
        <v>2.3823712102068493E-2</v>
      </c>
    </row>
    <row r="20" spans="1:17" x14ac:dyDescent="0.3">
      <c r="A20" t="s">
        <v>25</v>
      </c>
      <c r="B20" s="1">
        <v>7437.3235016189301</v>
      </c>
      <c r="C20" s="1">
        <v>877.94035313653796</v>
      </c>
      <c r="D20" s="1">
        <v>40.665886534345901</v>
      </c>
      <c r="E20" s="2">
        <v>4.6319646191296</v>
      </c>
      <c r="F20" s="1">
        <v>10173.408208770299</v>
      </c>
      <c r="G20" s="1">
        <v>121.09</v>
      </c>
      <c r="H20" s="5">
        <f t="shared" si="0"/>
        <v>1.9188950368795182E-2</v>
      </c>
      <c r="I20" s="5">
        <f t="shared" si="1"/>
        <v>1.7695329523737313E-2</v>
      </c>
      <c r="M20" s="3">
        <f>SUM(M14:M18)</f>
        <v>24422.301555260259</v>
      </c>
      <c r="N20" s="3"/>
    </row>
    <row r="21" spans="1:17" x14ac:dyDescent="0.3">
      <c r="A21" t="s">
        <v>26</v>
      </c>
      <c r="B21" s="1">
        <v>5500.2289923613998</v>
      </c>
      <c r="C21" s="1">
        <v>742.36839264297498</v>
      </c>
      <c r="D21" s="1">
        <v>25.580175838632201</v>
      </c>
      <c r="E21" s="2">
        <v>3.44575228311672</v>
      </c>
      <c r="F21" s="1">
        <v>6566.9632140083304</v>
      </c>
      <c r="G21" s="1">
        <v>141.63</v>
      </c>
      <c r="H21" s="5">
        <f t="shared" si="0"/>
        <v>1.419107574498499E-2</v>
      </c>
      <c r="I21" s="5">
        <f t="shared" si="1"/>
        <v>1.4962808451500416E-2</v>
      </c>
      <c r="M21" s="5">
        <f>M20/C2</f>
        <v>0.49224377510894823</v>
      </c>
    </row>
    <row r="22" spans="1:17" x14ac:dyDescent="0.3">
      <c r="A22" t="s">
        <v>27</v>
      </c>
      <c r="B22" s="1">
        <v>3801.2563569501699</v>
      </c>
      <c r="C22" s="1">
        <v>546.89346459484102</v>
      </c>
      <c r="D22" s="1">
        <v>12.012887838361801</v>
      </c>
      <c r="E22" s="2">
        <v>2.1965681830302</v>
      </c>
      <c r="F22" s="1">
        <v>14952.7034611787</v>
      </c>
      <c r="G22" s="1">
        <v>53.45</v>
      </c>
      <c r="H22" s="5">
        <f t="shared" si="0"/>
        <v>9.8075765504493928E-3</v>
      </c>
      <c r="I22" s="5">
        <f t="shared" si="1"/>
        <v>1.1022912930030262E-2</v>
      </c>
    </row>
    <row r="23" spans="1:17" x14ac:dyDescent="0.3">
      <c r="A23" t="s">
        <v>28</v>
      </c>
      <c r="B23" s="1">
        <v>3382.77076640419</v>
      </c>
      <c r="C23" s="1">
        <v>466.98803036975897</v>
      </c>
      <c r="D23" s="1">
        <v>15.5200135316635</v>
      </c>
      <c r="E23" s="2">
        <v>3.3234285511289898</v>
      </c>
      <c r="F23" s="1">
        <v>3568.8138509517198</v>
      </c>
      <c r="G23" s="1">
        <v>92.99</v>
      </c>
      <c r="H23" s="5">
        <f t="shared" si="0"/>
        <v>8.7278468297649642E-3</v>
      </c>
      <c r="I23" s="5">
        <f t="shared" si="1"/>
        <v>9.4123787014819982E-3</v>
      </c>
      <c r="K23" t="s">
        <v>49</v>
      </c>
      <c r="L23" t="s">
        <v>51</v>
      </c>
      <c r="M23" t="s">
        <v>52</v>
      </c>
    </row>
    <row r="24" spans="1:17" x14ac:dyDescent="0.3">
      <c r="A24" t="s">
        <v>29</v>
      </c>
      <c r="B24" s="1">
        <v>2889.3664475921701</v>
      </c>
      <c r="C24" s="1">
        <v>429.85082144689602</v>
      </c>
      <c r="D24" s="1">
        <v>15.8653712793545</v>
      </c>
      <c r="E24" s="2">
        <v>3.69090170072282</v>
      </c>
      <c r="F24" s="1">
        <v>5742.18270999387</v>
      </c>
      <c r="G24" s="1">
        <v>81.55</v>
      </c>
      <c r="H24" s="5">
        <f t="shared" si="0"/>
        <v>7.4548201847128692E-3</v>
      </c>
      <c r="I24" s="5">
        <f t="shared" si="1"/>
        <v>8.6638595712994308E-3</v>
      </c>
      <c r="K24" t="s">
        <v>41</v>
      </c>
      <c r="L24" t="s">
        <v>53</v>
      </c>
      <c r="M24" t="s">
        <v>53</v>
      </c>
    </row>
    <row r="25" spans="1:17" x14ac:dyDescent="0.3">
      <c r="A25" t="s">
        <v>30</v>
      </c>
      <c r="B25" s="1">
        <v>2250.8873718052</v>
      </c>
      <c r="C25" s="1">
        <v>381.23776821565599</v>
      </c>
      <c r="D25" s="1">
        <v>8.5725947547621502</v>
      </c>
      <c r="E25" s="2">
        <v>2.24862158722765</v>
      </c>
      <c r="F25" s="1">
        <v>9635.4198734393703</v>
      </c>
      <c r="G25" s="1">
        <v>58.47</v>
      </c>
      <c r="H25" s="5">
        <f t="shared" si="0"/>
        <v>5.8074878757009684E-3</v>
      </c>
      <c r="I25" s="5">
        <f t="shared" si="1"/>
        <v>7.6840390253949944E-3</v>
      </c>
      <c r="K25" t="s">
        <v>43</v>
      </c>
      <c r="L25" t="s">
        <v>53</v>
      </c>
      <c r="M25" t="s">
        <v>54</v>
      </c>
    </row>
    <row r="26" spans="1:17" x14ac:dyDescent="0.3">
      <c r="A26" t="s">
        <v>31</v>
      </c>
      <c r="B26" s="1">
        <v>1999.63017956876</v>
      </c>
      <c r="C26" s="1">
        <v>285.65472423458198</v>
      </c>
      <c r="D26" s="1">
        <v>12.124089913908</v>
      </c>
      <c r="E26" s="2">
        <v>4.2443162620169304</v>
      </c>
      <c r="F26" s="1">
        <v>952.18981917006397</v>
      </c>
      <c r="G26" s="1">
        <v>95.67</v>
      </c>
      <c r="H26" s="5">
        <f t="shared" si="0"/>
        <v>5.1592221668638602E-3</v>
      </c>
      <c r="I26" s="5">
        <f t="shared" si="1"/>
        <v>5.7575146845506939E-3</v>
      </c>
      <c r="K26" t="s">
        <v>45</v>
      </c>
      <c r="L26" t="s">
        <v>54</v>
      </c>
      <c r="M26" t="s">
        <v>53</v>
      </c>
    </row>
    <row r="27" spans="1:17" x14ac:dyDescent="0.3">
      <c r="A27" t="s">
        <v>32</v>
      </c>
      <c r="B27" s="1">
        <v>1973.44968753389</v>
      </c>
      <c r="C27" s="1">
        <v>274.51946492624199</v>
      </c>
      <c r="D27" s="1">
        <v>8.3212658993084592</v>
      </c>
      <c r="E27" s="2">
        <v>3.03121161246042</v>
      </c>
      <c r="F27" s="1">
        <v>2879.62243198223</v>
      </c>
      <c r="G27" s="1">
        <v>54.03</v>
      </c>
      <c r="H27" s="5">
        <f t="shared" si="0"/>
        <v>5.0916741891298811E-3</v>
      </c>
      <c r="I27" s="5">
        <f t="shared" si="1"/>
        <v>5.5330779308585048E-3</v>
      </c>
      <c r="K27" t="s">
        <v>50</v>
      </c>
      <c r="L27" t="s">
        <v>54</v>
      </c>
      <c r="M27" t="s">
        <v>54</v>
      </c>
    </row>
    <row r="28" spans="1:17" x14ac:dyDescent="0.3">
      <c r="A28" t="s">
        <v>33</v>
      </c>
      <c r="B28" s="1">
        <v>2818.21548137525</v>
      </c>
      <c r="C28" s="1">
        <v>262.89170234060299</v>
      </c>
      <c r="D28" s="1">
        <v>18.598573099575098</v>
      </c>
      <c r="E28" s="2">
        <v>7.0746139699300103</v>
      </c>
      <c r="F28" s="1">
        <v>5916.0618122219603</v>
      </c>
      <c r="G28" s="1">
        <v>42.71</v>
      </c>
      <c r="H28" s="5">
        <f t="shared" si="0"/>
        <v>7.2712444186283217E-3</v>
      </c>
      <c r="I28" s="5">
        <f t="shared" si="1"/>
        <v>5.298714525825832E-3</v>
      </c>
    </row>
    <row r="29" spans="1:17" x14ac:dyDescent="0.3">
      <c r="A29" t="s">
        <v>34</v>
      </c>
      <c r="B29" s="1">
        <v>1726.6622358703401</v>
      </c>
      <c r="C29" s="1">
        <v>262.79836457014</v>
      </c>
      <c r="D29" s="1">
        <v>7.1899251236337296</v>
      </c>
      <c r="E29" s="2">
        <v>2.7359093864203898</v>
      </c>
      <c r="F29" s="1">
        <v>7190.9939593629897</v>
      </c>
      <c r="G29" s="1">
        <v>36.42</v>
      </c>
      <c r="H29" s="5">
        <f t="shared" si="0"/>
        <v>4.4549408050593249E-3</v>
      </c>
      <c r="I29" s="5">
        <f t="shared" si="1"/>
        <v>5.2968332561023788E-3</v>
      </c>
    </row>
    <row r="30" spans="1:17" x14ac:dyDescent="0.3">
      <c r="A30" t="s">
        <v>35</v>
      </c>
      <c r="B30" s="1">
        <v>2174.6222251210302</v>
      </c>
      <c r="C30" s="1">
        <v>213.34465766096201</v>
      </c>
      <c r="D30" s="1">
        <v>11.249757452426699</v>
      </c>
      <c r="E30" s="2">
        <v>5.2730438979654899</v>
      </c>
      <c r="F30" s="1">
        <v>7295.1466389826101</v>
      </c>
      <c r="G30" s="1">
        <v>38.53</v>
      </c>
      <c r="H30" s="5">
        <f t="shared" si="0"/>
        <v>5.6107170731033856E-3</v>
      </c>
      <c r="I30" s="5">
        <f t="shared" si="1"/>
        <v>4.3000689123723745E-3</v>
      </c>
    </row>
    <row r="31" spans="1:17" x14ac:dyDescent="0.3">
      <c r="A31" t="s">
        <v>36</v>
      </c>
      <c r="B31" s="1">
        <v>1669.2399457010899</v>
      </c>
      <c r="C31" s="1">
        <v>180.04187972402499</v>
      </c>
      <c r="D31" s="1">
        <v>6.1827931403136498</v>
      </c>
      <c r="E31" s="2">
        <v>3.4340860858545001</v>
      </c>
      <c r="F31" s="1">
        <v>5652.6552655265496</v>
      </c>
      <c r="G31" s="1">
        <v>33.33</v>
      </c>
      <c r="H31" s="5">
        <f t="shared" si="0"/>
        <v>4.3067862336089308E-3</v>
      </c>
      <c r="I31" s="5">
        <f t="shared" si="1"/>
        <v>3.6288346678766095E-3</v>
      </c>
    </row>
    <row r="32" spans="1:17" x14ac:dyDescent="0.3">
      <c r="A32" s="6" t="s">
        <v>37</v>
      </c>
      <c r="B32" s="7">
        <v>1173.1203163781199</v>
      </c>
      <c r="C32" s="7">
        <v>121.253423911095</v>
      </c>
      <c r="D32" s="7">
        <v>2.67067278143442</v>
      </c>
      <c r="E32" s="8">
        <v>2.2025545302478302</v>
      </c>
      <c r="F32" s="7">
        <v>2391.2182882631701</v>
      </c>
      <c r="G32" s="7">
        <v>35.869999999999997</v>
      </c>
      <c r="H32" s="5">
        <f t="shared" si="0"/>
        <v>3.0267538480348395E-3</v>
      </c>
      <c r="I32" s="5">
        <f t="shared" si="1"/>
        <v>2.4439237635253647E-3</v>
      </c>
    </row>
    <row r="33" spans="1:9" x14ac:dyDescent="0.3">
      <c r="A33" t="s">
        <v>38</v>
      </c>
      <c r="B33" s="1">
        <v>10663.385498334201</v>
      </c>
      <c r="C33" s="1">
        <v>36.8415593028069</v>
      </c>
      <c r="D33" s="1">
        <v>58.197149323988</v>
      </c>
      <c r="E33" s="2">
        <v>157.966031908845</v>
      </c>
      <c r="F33" s="1">
        <v>957.14053690340802</v>
      </c>
      <c r="G33" s="1">
        <v>430.99</v>
      </c>
      <c r="H33" s="5">
        <f t="shared" si="0"/>
        <v>2.75124747560496E-2</v>
      </c>
      <c r="I33" s="5">
        <f t="shared" si="1"/>
        <v>7.425601633441382E-4</v>
      </c>
    </row>
    <row r="35" spans="1:9" x14ac:dyDescent="0.3">
      <c r="B35" s="3">
        <f>MIN(B3:B33)</f>
        <v>1173.1203163781199</v>
      </c>
      <c r="C35" s="3">
        <f>MIN(C3:C33)</f>
        <v>36.8415593028069</v>
      </c>
      <c r="E35" s="4">
        <f>MIN(E3:E33)</f>
        <v>2.1965681830302</v>
      </c>
    </row>
    <row r="36" spans="1:9" x14ac:dyDescent="0.3">
      <c r="B36" s="3">
        <f>MAX(B3:B33)</f>
        <v>43644.666334179099</v>
      </c>
      <c r="C36" s="3">
        <f>MAX(C3:C33)</f>
        <v>6888.4946280163804</v>
      </c>
      <c r="E36" s="4">
        <f>MAX(E3:E33)</f>
        <v>157.966031908845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CCE8-EE85-4C59-992D-E8559FAD3DBD}">
  <dimension ref="A1:M35"/>
  <sheetViews>
    <sheetView workbookViewId="0">
      <selection activeCell="D47" sqref="D47"/>
    </sheetView>
  </sheetViews>
  <sheetFormatPr defaultRowHeight="16.5" x14ac:dyDescent="0.3"/>
  <cols>
    <col min="2" max="2" width="17.125" bestFit="1" customWidth="1"/>
    <col min="3" max="3" width="9.375" bestFit="1" customWidth="1"/>
    <col min="4" max="4" width="8.5" bestFit="1" customWidth="1"/>
    <col min="5" max="5" width="7.375" bestFit="1" customWidth="1"/>
    <col min="6" max="6" width="8" bestFit="1" customWidth="1"/>
    <col min="7" max="7" width="11.25" bestFit="1" customWidth="1"/>
    <col min="8" max="8" width="8.375" bestFit="1" customWidth="1"/>
    <col min="13" max="13" width="9.125" bestFit="1" customWidth="1"/>
  </cols>
  <sheetData>
    <row r="1" spans="1:13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13" x14ac:dyDescent="0.3">
      <c r="B2" t="s">
        <v>7</v>
      </c>
      <c r="C2" s="1">
        <v>387583.65406548802</v>
      </c>
      <c r="D2" s="1">
        <v>49614.241540900897</v>
      </c>
      <c r="E2" s="1">
        <v>2339.5647593723402</v>
      </c>
      <c r="F2" s="2">
        <v>4.7155104798763396</v>
      </c>
      <c r="G2" s="1">
        <v>1389.0863882690501</v>
      </c>
      <c r="H2" s="1">
        <v>10195.25</v>
      </c>
      <c r="L2" t="s">
        <v>55</v>
      </c>
      <c r="M2" s="1">
        <f>SUM(M24,M35)</f>
        <v>387583.65406548855</v>
      </c>
    </row>
    <row r="3" spans="1:13" x14ac:dyDescent="0.3">
      <c r="A3" t="s">
        <v>86</v>
      </c>
      <c r="B3" s="6" t="s">
        <v>8</v>
      </c>
      <c r="C3" s="7">
        <v>17432.998632536499</v>
      </c>
      <c r="D3" s="7">
        <v>6888.4946280163804</v>
      </c>
      <c r="E3" s="7">
        <v>200.52987717408601</v>
      </c>
      <c r="F3" s="8">
        <v>2.9110841773542999</v>
      </c>
      <c r="G3" s="7">
        <v>62.413686031553603</v>
      </c>
      <c r="H3" s="7">
        <v>676.31</v>
      </c>
      <c r="L3" t="s">
        <v>56</v>
      </c>
      <c r="M3" s="1">
        <f>SUMIF($A$3:$A$33,$L3,$C$3:$C$33)</f>
        <v>7437.3235016189301</v>
      </c>
    </row>
    <row r="4" spans="1:13" x14ac:dyDescent="0.3">
      <c r="A4" t="s">
        <v>87</v>
      </c>
      <c r="B4" s="6" t="s">
        <v>9</v>
      </c>
      <c r="C4" s="7">
        <v>27859.096446789699</v>
      </c>
      <c r="D4" s="7">
        <v>4739.57731109428</v>
      </c>
      <c r="E4" s="7">
        <v>124.842385072017</v>
      </c>
      <c r="F4" s="8">
        <v>2.6340404824664199</v>
      </c>
      <c r="G4" s="7">
        <v>781.726174576321</v>
      </c>
      <c r="H4" s="7">
        <v>673.86</v>
      </c>
      <c r="L4" t="s">
        <v>57</v>
      </c>
      <c r="M4" s="1">
        <f t="shared" ref="M4:M34" si="0">SUMIF($A$3:$A$33,$L4,$C$3:$C$33)</f>
        <v>23683.462181259201</v>
      </c>
    </row>
    <row r="5" spans="1:13" x14ac:dyDescent="0.3">
      <c r="A5" t="s">
        <v>88</v>
      </c>
      <c r="B5" t="s">
        <v>10</v>
      </c>
      <c r="C5" s="1">
        <v>25429.588350730799</v>
      </c>
      <c r="D5" s="1">
        <v>4489.8729396702502</v>
      </c>
      <c r="E5" s="1">
        <v>193.04995364891801</v>
      </c>
      <c r="F5" s="2">
        <v>4.2996752078043503</v>
      </c>
      <c r="G5" s="1">
        <v>377.36241101434598</v>
      </c>
      <c r="H5" s="1">
        <v>553.46</v>
      </c>
      <c r="L5" t="s">
        <v>58</v>
      </c>
      <c r="M5" s="1">
        <f t="shared" si="0"/>
        <v>5500.2289923613998</v>
      </c>
    </row>
    <row r="6" spans="1:13" x14ac:dyDescent="0.3">
      <c r="A6" t="s">
        <v>89</v>
      </c>
      <c r="B6" t="s">
        <v>11</v>
      </c>
      <c r="C6" s="1">
        <v>43644.666334179099</v>
      </c>
      <c r="D6" s="1">
        <v>4238.9474796600098</v>
      </c>
      <c r="E6" s="1">
        <v>303.78196328151</v>
      </c>
      <c r="F6" s="2">
        <v>7.1664479151762297</v>
      </c>
      <c r="G6" s="1">
        <v>1460.76942908705</v>
      </c>
      <c r="H6" s="1">
        <v>698.18</v>
      </c>
      <c r="L6" t="s">
        <v>59</v>
      </c>
      <c r="M6" s="1">
        <f t="shared" si="0"/>
        <v>3801.2563569501699</v>
      </c>
    </row>
    <row r="7" spans="1:13" x14ac:dyDescent="0.3">
      <c r="A7" t="s">
        <v>90</v>
      </c>
      <c r="B7" t="s">
        <v>12</v>
      </c>
      <c r="C7" s="1">
        <v>20648.877437770501</v>
      </c>
      <c r="D7" s="1">
        <v>4065.4091968193402</v>
      </c>
      <c r="E7" s="1">
        <v>143.05159450003001</v>
      </c>
      <c r="F7" s="2">
        <v>3.51875020630025</v>
      </c>
      <c r="G7" s="1">
        <v>190.806738339118</v>
      </c>
      <c r="H7" s="1">
        <v>826.91</v>
      </c>
      <c r="L7" t="s">
        <v>60</v>
      </c>
      <c r="M7" s="1">
        <f t="shared" si="0"/>
        <v>43644.666334179099</v>
      </c>
    </row>
    <row r="8" spans="1:13" x14ac:dyDescent="0.3">
      <c r="A8" t="s">
        <v>91</v>
      </c>
      <c r="B8" t="s">
        <v>13</v>
      </c>
      <c r="C8" s="1">
        <v>26684.6676620863</v>
      </c>
      <c r="D8" s="1">
        <v>2686.8530350442202</v>
      </c>
      <c r="E8" s="1">
        <v>211.748602161138</v>
      </c>
      <c r="F8" s="2">
        <v>7.8809149365198996</v>
      </c>
      <c r="G8" s="1">
        <v>196.16940124288999</v>
      </c>
      <c r="H8" s="1">
        <v>608.26</v>
      </c>
      <c r="L8" t="s">
        <v>61</v>
      </c>
      <c r="M8" s="1">
        <f t="shared" si="0"/>
        <v>8735.84260963423</v>
      </c>
    </row>
    <row r="9" spans="1:13" x14ac:dyDescent="0.3">
      <c r="A9" t="s">
        <v>92</v>
      </c>
      <c r="B9" t="s">
        <v>14</v>
      </c>
      <c r="C9" s="1">
        <v>17617.856786810298</v>
      </c>
      <c r="D9" s="1">
        <v>2235.1513640718999</v>
      </c>
      <c r="E9" s="1">
        <v>65.627789593059703</v>
      </c>
      <c r="F9" s="2">
        <v>2.93616757450833</v>
      </c>
      <c r="G9" s="1">
        <v>146.358053526872</v>
      </c>
      <c r="H9" s="1">
        <v>877.69</v>
      </c>
      <c r="L9" t="s">
        <v>62</v>
      </c>
      <c r="M9" s="1">
        <f t="shared" si="0"/>
        <v>2250.8873718052</v>
      </c>
    </row>
    <row r="10" spans="1:13" x14ac:dyDescent="0.3">
      <c r="A10" t="s">
        <v>93</v>
      </c>
      <c r="B10" t="s">
        <v>15</v>
      </c>
      <c r="C10" s="1">
        <v>9318.7184945355693</v>
      </c>
      <c r="D10" s="1">
        <v>2021.8840890173999</v>
      </c>
      <c r="E10" s="1">
        <v>55.418143925696299</v>
      </c>
      <c r="F10" s="2">
        <v>2.7409159717275702</v>
      </c>
      <c r="G10" s="1">
        <v>75.638290306521597</v>
      </c>
      <c r="H10" s="1">
        <v>843.66</v>
      </c>
      <c r="L10" t="s">
        <v>63</v>
      </c>
      <c r="M10" s="1">
        <f t="shared" si="0"/>
        <v>28958.9180438609</v>
      </c>
    </row>
    <row r="11" spans="1:13" x14ac:dyDescent="0.3">
      <c r="A11" t="s">
        <v>94</v>
      </c>
      <c r="B11" s="6" t="s">
        <v>16</v>
      </c>
      <c r="C11" s="7">
        <v>26240.247698726602</v>
      </c>
      <c r="D11" s="7">
        <v>1888.48615921071</v>
      </c>
      <c r="E11" s="7">
        <v>189.991179857481</v>
      </c>
      <c r="F11" s="8">
        <v>10.0605015785177</v>
      </c>
      <c r="G11" s="7">
        <v>504.68110005851401</v>
      </c>
      <c r="H11" s="7">
        <v>461.43</v>
      </c>
      <c r="L11" t="s">
        <v>64</v>
      </c>
      <c r="M11" s="1">
        <f t="shared" si="0"/>
        <v>8426.6687490545301</v>
      </c>
    </row>
    <row r="12" spans="1:13" x14ac:dyDescent="0.3">
      <c r="A12" t="s">
        <v>95</v>
      </c>
      <c r="B12" t="s">
        <v>17</v>
      </c>
      <c r="C12" s="1">
        <v>23683.462181259201</v>
      </c>
      <c r="D12" s="1">
        <v>1781.3029973979101</v>
      </c>
      <c r="E12" s="1">
        <v>83.206348223266303</v>
      </c>
      <c r="F12" s="2">
        <v>4.6710946057359397</v>
      </c>
      <c r="G12" s="1">
        <v>1871.9838303198401</v>
      </c>
      <c r="H12" s="1">
        <v>591.23</v>
      </c>
      <c r="L12" t="s">
        <v>65</v>
      </c>
      <c r="M12" s="1">
        <f t="shared" si="0"/>
        <v>15649.288137858201</v>
      </c>
    </row>
    <row r="13" spans="1:13" x14ac:dyDescent="0.3">
      <c r="A13" t="s">
        <v>96</v>
      </c>
      <c r="B13" t="s">
        <v>18</v>
      </c>
      <c r="C13" s="1">
        <v>28958.9180438609</v>
      </c>
      <c r="D13" s="1">
        <v>1638.1931676721499</v>
      </c>
      <c r="E13" s="1">
        <v>152.48619505923901</v>
      </c>
      <c r="F13" s="2">
        <v>9.3081938118396401</v>
      </c>
      <c r="G13" s="1">
        <v>1377.10588337989</v>
      </c>
      <c r="H13" s="1">
        <v>458.24</v>
      </c>
      <c r="L13" t="s">
        <v>66</v>
      </c>
      <c r="M13" s="1">
        <f t="shared" si="0"/>
        <v>10663.385498334201</v>
      </c>
    </row>
    <row r="14" spans="1:13" x14ac:dyDescent="0.3">
      <c r="A14" t="s">
        <v>97</v>
      </c>
      <c r="B14" t="s">
        <v>19</v>
      </c>
      <c r="C14" s="1">
        <v>8735.84260963423</v>
      </c>
      <c r="D14" s="1">
        <v>1445.96047315073</v>
      </c>
      <c r="E14" s="1">
        <v>62.696000000093903</v>
      </c>
      <c r="F14" s="2">
        <v>4.3359414841734996</v>
      </c>
      <c r="G14" s="1">
        <v>4316.6314846798396</v>
      </c>
      <c r="H14" s="1">
        <v>156.33000000000001</v>
      </c>
      <c r="L14" t="s">
        <v>67</v>
      </c>
      <c r="M14" s="1">
        <f t="shared" si="0"/>
        <v>2174.6222251210302</v>
      </c>
    </row>
    <row r="15" spans="1:13" x14ac:dyDescent="0.3">
      <c r="A15" t="s">
        <v>99</v>
      </c>
      <c r="B15" t="s">
        <v>20</v>
      </c>
      <c r="C15" s="1">
        <v>12490.1088525041</v>
      </c>
      <c r="D15" s="1">
        <v>1428.0041416311201</v>
      </c>
      <c r="E15" s="1">
        <v>49.546685923458199</v>
      </c>
      <c r="F15" s="2">
        <v>3.4696458139725102</v>
      </c>
      <c r="G15" s="1">
        <v>1619.0138385646301</v>
      </c>
      <c r="H15" s="1">
        <v>458.14</v>
      </c>
      <c r="L15" t="s">
        <v>68</v>
      </c>
      <c r="M15" s="1">
        <f t="shared" si="0"/>
        <v>1726.6622358703401</v>
      </c>
    </row>
    <row r="16" spans="1:13" x14ac:dyDescent="0.3">
      <c r="A16" t="s">
        <v>100</v>
      </c>
      <c r="B16" t="s">
        <v>21</v>
      </c>
      <c r="C16" s="1">
        <v>15649.288137858201</v>
      </c>
      <c r="D16" s="1">
        <v>1353.3915093660401</v>
      </c>
      <c r="E16" s="1">
        <v>94.653561543461095</v>
      </c>
      <c r="F16" s="2">
        <v>6.9938048885646804</v>
      </c>
      <c r="G16" s="1">
        <v>1852.6481327500801</v>
      </c>
      <c r="H16" s="1">
        <v>276.61</v>
      </c>
      <c r="L16" t="s">
        <v>69</v>
      </c>
      <c r="M16" s="1">
        <f t="shared" si="0"/>
        <v>3382.77076640419</v>
      </c>
    </row>
    <row r="17" spans="1:13" x14ac:dyDescent="0.3">
      <c r="A17" t="s">
        <v>101</v>
      </c>
      <c r="B17" t="s">
        <v>22</v>
      </c>
      <c r="C17" s="1">
        <v>8426.6687490545301</v>
      </c>
      <c r="D17" s="1">
        <v>1241.45046094799</v>
      </c>
      <c r="E17" s="1">
        <v>53.734876295289503</v>
      </c>
      <c r="F17" s="2">
        <v>4.3283947274268799</v>
      </c>
      <c r="G17" s="1">
        <v>3999.3198739977101</v>
      </c>
      <c r="H17" s="1">
        <v>139.68</v>
      </c>
      <c r="L17" t="s">
        <v>70</v>
      </c>
      <c r="M17" s="1">
        <f t="shared" si="0"/>
        <v>2818.21548137525</v>
      </c>
    </row>
    <row r="18" spans="1:13" x14ac:dyDescent="0.3">
      <c r="A18" t="s">
        <v>102</v>
      </c>
      <c r="B18" t="s">
        <v>23</v>
      </c>
      <c r="C18" s="1">
        <v>11308.1250705724</v>
      </c>
      <c r="D18" s="1">
        <v>1206.64257442045</v>
      </c>
      <c r="E18" s="1">
        <v>53.6694290761357</v>
      </c>
      <c r="F18" s="2">
        <v>4.44783154629806</v>
      </c>
      <c r="G18" s="1">
        <v>962.81931514351095</v>
      </c>
      <c r="H18" s="1">
        <v>310.43</v>
      </c>
      <c r="L18" t="s">
        <v>71</v>
      </c>
      <c r="M18" s="1">
        <f t="shared" si="0"/>
        <v>26240.247698726602</v>
      </c>
    </row>
    <row r="19" spans="1:13" x14ac:dyDescent="0.3">
      <c r="A19" t="s">
        <v>103</v>
      </c>
      <c r="B19" t="s">
        <v>24</v>
      </c>
      <c r="C19" s="1">
        <v>13994.3635699648</v>
      </c>
      <c r="D19" s="1">
        <v>1181.9954066329101</v>
      </c>
      <c r="E19" s="1">
        <v>58.779017525752899</v>
      </c>
      <c r="F19" s="2">
        <v>4.9728634473456701</v>
      </c>
      <c r="G19" s="1">
        <v>4043.3420365535198</v>
      </c>
      <c r="H19" s="1">
        <v>268.10000000000002</v>
      </c>
      <c r="L19" t="s">
        <v>72</v>
      </c>
      <c r="M19" s="1">
        <f t="shared" si="0"/>
        <v>25429.588350730799</v>
      </c>
    </row>
    <row r="20" spans="1:13" x14ac:dyDescent="0.3">
      <c r="A20" t="s">
        <v>104</v>
      </c>
      <c r="B20" t="s">
        <v>25</v>
      </c>
      <c r="C20" s="1">
        <v>7437.3235016189301</v>
      </c>
      <c r="D20" s="1">
        <v>877.94035313653796</v>
      </c>
      <c r="E20" s="1">
        <v>40.665886534345901</v>
      </c>
      <c r="F20" s="2">
        <v>4.6319646191296</v>
      </c>
      <c r="G20" s="1">
        <v>10173.408208770299</v>
      </c>
      <c r="H20" s="1">
        <v>121.09</v>
      </c>
      <c r="L20" t="s">
        <v>73</v>
      </c>
      <c r="M20" s="1">
        <f t="shared" si="0"/>
        <v>1973.44968753389</v>
      </c>
    </row>
    <row r="21" spans="1:13" x14ac:dyDescent="0.3">
      <c r="A21" t="s">
        <v>105</v>
      </c>
      <c r="B21" t="s">
        <v>26</v>
      </c>
      <c r="C21" s="1">
        <v>5500.2289923613998</v>
      </c>
      <c r="D21" s="1">
        <v>742.36839264297498</v>
      </c>
      <c r="E21" s="1">
        <v>25.580175838632201</v>
      </c>
      <c r="F21" s="2">
        <v>3.44575228311672</v>
      </c>
      <c r="G21" s="1">
        <v>6566.9632140083304</v>
      </c>
      <c r="H21" s="1">
        <v>141.63</v>
      </c>
      <c r="L21" t="s">
        <v>74</v>
      </c>
      <c r="M21" s="1">
        <f t="shared" si="0"/>
        <v>17617.856786810298</v>
      </c>
    </row>
    <row r="22" spans="1:13" x14ac:dyDescent="0.3">
      <c r="A22" t="s">
        <v>106</v>
      </c>
      <c r="B22" t="s">
        <v>27</v>
      </c>
      <c r="C22" s="1">
        <v>3801.2563569501699</v>
      </c>
      <c r="D22" s="1">
        <v>546.89346459484102</v>
      </c>
      <c r="E22" s="1">
        <v>12.012887838361801</v>
      </c>
      <c r="F22" s="2">
        <v>2.1965681830302</v>
      </c>
      <c r="G22" s="1">
        <v>14952.7034611787</v>
      </c>
      <c r="H22" s="1">
        <v>53.45</v>
      </c>
      <c r="L22" t="s">
        <v>75</v>
      </c>
      <c r="M22" s="1">
        <f t="shared" si="0"/>
        <v>26684.6676620863</v>
      </c>
    </row>
    <row r="23" spans="1:13" x14ac:dyDescent="0.3">
      <c r="A23" t="s">
        <v>107</v>
      </c>
      <c r="B23" t="s">
        <v>28</v>
      </c>
      <c r="C23" s="1">
        <v>3382.77076640419</v>
      </c>
      <c r="D23" s="1">
        <v>466.98803036975897</v>
      </c>
      <c r="E23" s="1">
        <v>15.5200135316635</v>
      </c>
      <c r="F23" s="2">
        <v>3.3234285511289898</v>
      </c>
      <c r="G23" s="1">
        <v>3568.8138509517198</v>
      </c>
      <c r="H23" s="1">
        <v>92.99</v>
      </c>
      <c r="L23" t="s">
        <v>76</v>
      </c>
      <c r="M23" s="1">
        <f t="shared" si="0"/>
        <v>1173.1203163781199</v>
      </c>
    </row>
    <row r="24" spans="1:13" x14ac:dyDescent="0.3">
      <c r="A24" t="s">
        <v>109</v>
      </c>
      <c r="B24" t="s">
        <v>29</v>
      </c>
      <c r="C24" s="1">
        <v>2889.3664475921701</v>
      </c>
      <c r="D24" s="1">
        <v>429.85082144689602</v>
      </c>
      <c r="E24" s="1">
        <v>15.8653712793545</v>
      </c>
      <c r="F24" s="2">
        <v>3.69090170072282</v>
      </c>
      <c r="G24" s="1">
        <v>5742.18270999387</v>
      </c>
      <c r="H24" s="1">
        <v>81.55</v>
      </c>
      <c r="L24" t="s">
        <v>77</v>
      </c>
      <c r="M24" s="1">
        <f>SUM(M3:M23)</f>
        <v>267973.12898795295</v>
      </c>
    </row>
    <row r="25" spans="1:13" x14ac:dyDescent="0.3">
      <c r="A25" t="s">
        <v>110</v>
      </c>
      <c r="B25" t="s">
        <v>30</v>
      </c>
      <c r="C25" s="1">
        <v>2250.8873718052</v>
      </c>
      <c r="D25" s="1">
        <v>381.23776821565599</v>
      </c>
      <c r="E25" s="1">
        <v>8.5725947547621502</v>
      </c>
      <c r="F25" s="2">
        <v>2.24862158722765</v>
      </c>
      <c r="G25" s="1">
        <v>9635.4198734393703</v>
      </c>
      <c r="H25" s="1">
        <v>58.47</v>
      </c>
      <c r="L25" t="s">
        <v>78</v>
      </c>
      <c r="M25" s="1">
        <f t="shared" si="0"/>
        <v>13994.3635699648</v>
      </c>
    </row>
    <row r="26" spans="1:13" x14ac:dyDescent="0.3">
      <c r="A26" t="s">
        <v>112</v>
      </c>
      <c r="B26" t="s">
        <v>31</v>
      </c>
      <c r="C26" s="1">
        <v>1999.63017956876</v>
      </c>
      <c r="D26" s="1">
        <v>285.65472423458198</v>
      </c>
      <c r="E26" s="1">
        <v>12.124089913908</v>
      </c>
      <c r="F26" s="2">
        <v>4.2443162620169304</v>
      </c>
      <c r="G26" s="1">
        <v>952.18981917006397</v>
      </c>
      <c r="H26" s="1">
        <v>95.67</v>
      </c>
      <c r="L26" t="s">
        <v>99</v>
      </c>
      <c r="M26" s="1">
        <f>SUMIF($A$3:$A$33,$L26,$C$3:$C$33)</f>
        <v>12490.1088525041</v>
      </c>
    </row>
    <row r="27" spans="1:13" x14ac:dyDescent="0.3">
      <c r="A27" t="s">
        <v>113</v>
      </c>
      <c r="B27" t="s">
        <v>32</v>
      </c>
      <c r="C27" s="1">
        <v>1973.44968753389</v>
      </c>
      <c r="D27" s="1">
        <v>274.51946492624199</v>
      </c>
      <c r="E27" s="1">
        <v>8.3212658993084592</v>
      </c>
      <c r="F27" s="2">
        <v>3.03121161246042</v>
      </c>
      <c r="G27" s="1">
        <v>2879.62243198223</v>
      </c>
      <c r="H27" s="1">
        <v>54.03</v>
      </c>
      <c r="L27" t="s">
        <v>79</v>
      </c>
      <c r="M27" s="1">
        <f t="shared" si="0"/>
        <v>27859.096446789699</v>
      </c>
    </row>
    <row r="28" spans="1:13" x14ac:dyDescent="0.3">
      <c r="A28" t="s">
        <v>114</v>
      </c>
      <c r="B28" t="s">
        <v>33</v>
      </c>
      <c r="C28" s="1">
        <v>2818.21548137525</v>
      </c>
      <c r="D28" s="1">
        <v>262.89170234060299</v>
      </c>
      <c r="E28" s="1">
        <v>18.598573099575098</v>
      </c>
      <c r="F28" s="2">
        <v>7.0746139699300103</v>
      </c>
      <c r="G28" s="1">
        <v>5916.0618122219603</v>
      </c>
      <c r="H28" s="1">
        <v>42.71</v>
      </c>
      <c r="L28" t="s">
        <v>109</v>
      </c>
      <c r="M28" s="1">
        <f t="shared" si="0"/>
        <v>2889.3664475921701</v>
      </c>
    </row>
    <row r="29" spans="1:13" x14ac:dyDescent="0.3">
      <c r="A29" t="s">
        <v>115</v>
      </c>
      <c r="B29" t="s">
        <v>34</v>
      </c>
      <c r="C29" s="1">
        <v>1726.6622358703401</v>
      </c>
      <c r="D29" s="1">
        <v>262.79836457014</v>
      </c>
      <c r="E29" s="1">
        <v>7.1899251236337296</v>
      </c>
      <c r="F29" s="2">
        <v>2.7359093864203898</v>
      </c>
      <c r="G29" s="1">
        <v>7190.9939593629897</v>
      </c>
      <c r="H29" s="1">
        <v>36.42</v>
      </c>
      <c r="L29" t="s">
        <v>80</v>
      </c>
      <c r="M29" s="1">
        <f t="shared" si="0"/>
        <v>11308.1250705724</v>
      </c>
    </row>
    <row r="30" spans="1:13" x14ac:dyDescent="0.3">
      <c r="A30" t="s">
        <v>116</v>
      </c>
      <c r="B30" t="s">
        <v>35</v>
      </c>
      <c r="C30" s="1">
        <v>2174.6222251210302</v>
      </c>
      <c r="D30" s="1">
        <v>213.34465766096201</v>
      </c>
      <c r="E30" s="1">
        <v>11.249757452426699</v>
      </c>
      <c r="F30" s="2">
        <v>5.2730438979654899</v>
      </c>
      <c r="G30" s="1">
        <v>7295.1466389826101</v>
      </c>
      <c r="H30" s="1">
        <v>38.53</v>
      </c>
      <c r="L30" t="s">
        <v>81</v>
      </c>
      <c r="M30" s="1">
        <f t="shared" si="0"/>
        <v>1669.2399457010899</v>
      </c>
    </row>
    <row r="31" spans="1:13" x14ac:dyDescent="0.3">
      <c r="A31" t="s">
        <v>117</v>
      </c>
      <c r="B31" t="s">
        <v>36</v>
      </c>
      <c r="C31" s="1">
        <v>1669.2399457010899</v>
      </c>
      <c r="D31" s="1">
        <v>180.04187972402499</v>
      </c>
      <c r="E31" s="1">
        <v>6.1827931403136498</v>
      </c>
      <c r="F31" s="2">
        <v>3.4340860858545001</v>
      </c>
      <c r="G31" s="1">
        <v>5652.6552655265496</v>
      </c>
      <c r="H31" s="1">
        <v>33.33</v>
      </c>
      <c r="L31" t="s">
        <v>82</v>
      </c>
      <c r="M31" s="1">
        <f t="shared" si="0"/>
        <v>20648.877437770501</v>
      </c>
    </row>
    <row r="32" spans="1:13" x14ac:dyDescent="0.3">
      <c r="A32" t="s">
        <v>118</v>
      </c>
      <c r="B32" s="6" t="s">
        <v>37</v>
      </c>
      <c r="C32" s="7">
        <v>1173.1203163781199</v>
      </c>
      <c r="D32" s="7">
        <v>121.253423911095</v>
      </c>
      <c r="E32" s="7">
        <v>2.67067278143442</v>
      </c>
      <c r="F32" s="8">
        <v>2.2025545302478302</v>
      </c>
      <c r="G32" s="7">
        <v>2391.2182882631701</v>
      </c>
      <c r="H32" s="7">
        <v>35.869999999999997</v>
      </c>
      <c r="L32" t="s">
        <v>112</v>
      </c>
      <c r="M32" s="1">
        <f t="shared" si="0"/>
        <v>1999.63017956876</v>
      </c>
    </row>
    <row r="33" spans="1:13" x14ac:dyDescent="0.3">
      <c r="A33" t="s">
        <v>119</v>
      </c>
      <c r="B33" t="s">
        <v>38</v>
      </c>
      <c r="C33" s="1">
        <v>10663.385498334201</v>
      </c>
      <c r="D33" s="1">
        <v>36.8415593028069</v>
      </c>
      <c r="E33" s="1">
        <v>58.197149323988</v>
      </c>
      <c r="F33" s="2">
        <v>157.966031908845</v>
      </c>
      <c r="G33" s="1">
        <v>957.14053690340802</v>
      </c>
      <c r="H33" s="1">
        <v>430.99</v>
      </c>
      <c r="L33" t="s">
        <v>83</v>
      </c>
      <c r="M33" s="1">
        <f t="shared" si="0"/>
        <v>9318.7184945355693</v>
      </c>
    </row>
    <row r="34" spans="1:13" x14ac:dyDescent="0.3">
      <c r="L34" t="s">
        <v>84</v>
      </c>
      <c r="M34" s="1">
        <f t="shared" si="0"/>
        <v>17432.998632536499</v>
      </c>
    </row>
    <row r="35" spans="1:13" x14ac:dyDescent="0.3">
      <c r="L35" t="s">
        <v>85</v>
      </c>
      <c r="M35" s="1">
        <f>SUM(M25:M34)</f>
        <v>119610.52507753558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1BFD4-2F08-4560-B214-D30CDA8FF918}">
  <dimension ref="A1:V106"/>
  <sheetViews>
    <sheetView tabSelected="1" topLeftCell="A44" zoomScale="70" zoomScaleNormal="70" workbookViewId="0">
      <selection activeCell="O78" sqref="O78"/>
    </sheetView>
  </sheetViews>
  <sheetFormatPr defaultRowHeight="16.5" x14ac:dyDescent="0.3"/>
  <cols>
    <col min="8" max="8" width="12.5" bestFit="1" customWidth="1"/>
    <col min="9" max="9" width="9.125" bestFit="1" customWidth="1"/>
    <col min="10" max="10" width="9.375" bestFit="1" customWidth="1"/>
    <col min="11" max="11" width="8.625" style="12"/>
    <col min="20" max="22" width="10.625" bestFit="1" customWidth="1"/>
  </cols>
  <sheetData>
    <row r="1" spans="1:22" x14ac:dyDescent="0.3">
      <c r="A1" t="s">
        <v>129</v>
      </c>
      <c r="G1" t="s">
        <v>129</v>
      </c>
      <c r="M1" t="s">
        <v>133</v>
      </c>
      <c r="S1" t="s">
        <v>133</v>
      </c>
    </row>
    <row r="2" spans="1:22" x14ac:dyDescent="0.3">
      <c r="A2" t="s">
        <v>120</v>
      </c>
      <c r="B2" t="s">
        <v>121</v>
      </c>
      <c r="C2" t="s">
        <v>122</v>
      </c>
      <c r="D2" t="s">
        <v>123</v>
      </c>
      <c r="E2" t="s">
        <v>124</v>
      </c>
      <c r="H2" t="s">
        <v>130</v>
      </c>
      <c r="I2" t="s">
        <v>131</v>
      </c>
      <c r="J2" t="s">
        <v>134</v>
      </c>
      <c r="M2" t="s">
        <v>120</v>
      </c>
      <c r="N2" t="s">
        <v>121</v>
      </c>
      <c r="O2" t="s">
        <v>122</v>
      </c>
      <c r="P2" t="s">
        <v>123</v>
      </c>
      <c r="Q2" t="s">
        <v>124</v>
      </c>
      <c r="T2" t="s">
        <v>130</v>
      </c>
      <c r="U2" t="s">
        <v>131</v>
      </c>
      <c r="V2" t="s">
        <v>134</v>
      </c>
    </row>
    <row r="3" spans="1:22" x14ac:dyDescent="0.3">
      <c r="A3" s="9" t="s">
        <v>108</v>
      </c>
      <c r="B3" s="10" t="s">
        <v>125</v>
      </c>
      <c r="C3" t="s">
        <v>126</v>
      </c>
      <c r="D3" s="9">
        <v>2557656.3699444849</v>
      </c>
      <c r="E3" t="s">
        <v>127</v>
      </c>
      <c r="G3" t="s">
        <v>55</v>
      </c>
      <c r="H3" s="11">
        <f>SUM(H25,H36)</f>
        <v>365.50102201447731</v>
      </c>
      <c r="I3" s="11">
        <f>SUM(I25,I36)</f>
        <v>22.082632051011139</v>
      </c>
      <c r="J3" s="11">
        <f>SUM(H3:I3)</f>
        <v>387.58365406548847</v>
      </c>
      <c r="M3" s="9" t="s">
        <v>108</v>
      </c>
      <c r="N3" s="10" t="s">
        <v>132</v>
      </c>
      <c r="O3" t="s">
        <v>128</v>
      </c>
      <c r="P3" s="9">
        <v>242698.66718816801</v>
      </c>
      <c r="Q3" t="s">
        <v>127</v>
      </c>
      <c r="S3" t="s">
        <v>55</v>
      </c>
      <c r="T3" s="11">
        <f>SUM(T25,T36)</f>
        <v>34.629255216650193</v>
      </c>
      <c r="U3" s="11">
        <f>SUM(U25,U36)</f>
        <v>14.984986324250691</v>
      </c>
      <c r="V3" s="11">
        <f>SUM(T3:U3)</f>
        <v>49.614241540900885</v>
      </c>
    </row>
    <row r="4" spans="1:22" x14ac:dyDescent="0.3">
      <c r="A4" s="9" t="s">
        <v>67</v>
      </c>
      <c r="B4" s="10" t="s">
        <v>125</v>
      </c>
      <c r="C4" t="s">
        <v>126</v>
      </c>
      <c r="D4" s="9">
        <v>1963509.3577575809</v>
      </c>
      <c r="E4" t="s">
        <v>127</v>
      </c>
      <c r="G4" t="s">
        <v>56</v>
      </c>
      <c r="H4" s="11">
        <f>SUMIF($A$3:$A$33,$G4,$D$3:$D$33)/1000000</f>
        <v>6.4742475267415811</v>
      </c>
      <c r="I4" s="11">
        <f>SUMIF($A$34:$A$64,$G4,$D$34:$D$64)/1000000</f>
        <v>0.96307597487735341</v>
      </c>
      <c r="J4" s="11">
        <f t="shared" ref="J4:J35" si="0">SUM(H4:I4)</f>
        <v>7.4373235016189341</v>
      </c>
      <c r="M4" s="9" t="s">
        <v>67</v>
      </c>
      <c r="N4" s="10" t="s">
        <v>132</v>
      </c>
      <c r="O4" t="s">
        <v>128</v>
      </c>
      <c r="P4" s="9">
        <v>187979.14951849019</v>
      </c>
      <c r="Q4" t="s">
        <v>127</v>
      </c>
      <c r="S4" t="s">
        <v>56</v>
      </c>
      <c r="T4" s="11">
        <f>SUMIF($M$34:$M$64,$G4,$P$34:$P$64)/1000000</f>
        <v>5.121005498123174E-2</v>
      </c>
      <c r="U4" s="11">
        <f>SUMIF($M$3:$M$33,$G4,$P$3:$P$33)/1000000</f>
        <v>0.82673029815530574</v>
      </c>
      <c r="V4" s="11">
        <f t="shared" ref="V4:V35" si="1">SUM(T4:U4)</f>
        <v>0.87794035313653751</v>
      </c>
    </row>
    <row r="5" spans="1:22" x14ac:dyDescent="0.3">
      <c r="A5" s="9" t="s">
        <v>63</v>
      </c>
      <c r="B5" s="10" t="s">
        <v>125</v>
      </c>
      <c r="C5" t="s">
        <v>126</v>
      </c>
      <c r="D5" s="9">
        <v>27464732.97555593</v>
      </c>
      <c r="E5" t="s">
        <v>127</v>
      </c>
      <c r="G5" t="s">
        <v>57</v>
      </c>
      <c r="H5" s="11">
        <f t="shared" ref="H5:H24" si="2">SUMIF($A$3:$A$33,$G5,$D$3:$D$33)/1000000</f>
        <v>22.229564728966281</v>
      </c>
      <c r="I5" s="11">
        <f t="shared" ref="I5:I24" si="3">SUMIF($A$34:$A$64,$G5,$D$34:$D$64)/1000000</f>
        <v>1.453897452292916</v>
      </c>
      <c r="J5" s="11">
        <f t="shared" si="0"/>
        <v>23.683462181259198</v>
      </c>
      <c r="M5" s="9" t="s">
        <v>63</v>
      </c>
      <c r="N5" s="10" t="s">
        <v>132</v>
      </c>
      <c r="O5" t="s">
        <v>128</v>
      </c>
      <c r="P5" s="9">
        <v>1146641.571169846</v>
      </c>
      <c r="Q5" t="s">
        <v>127</v>
      </c>
      <c r="S5" t="s">
        <v>57</v>
      </c>
      <c r="T5" s="11">
        <f t="shared" ref="T5:T35" si="4">SUMIF($M$34:$M$64,$G5,$P$34:$P$64)/1000000</f>
        <v>0.97870490029812574</v>
      </c>
      <c r="U5" s="11">
        <f t="shared" ref="U5:U35" si="5">SUMIF($M$3:$M$33,$G5,$P$3:$P$33)/1000000</f>
        <v>0.80259809709978169</v>
      </c>
      <c r="V5" s="11">
        <f t="shared" si="1"/>
        <v>1.7813029973979075</v>
      </c>
    </row>
    <row r="6" spans="1:22" x14ac:dyDescent="0.3">
      <c r="A6" s="9" t="s">
        <v>111</v>
      </c>
      <c r="B6" s="10" t="s">
        <v>125</v>
      </c>
      <c r="C6" t="s">
        <v>126</v>
      </c>
      <c r="D6" s="9">
        <v>1839270.797627446</v>
      </c>
      <c r="E6" t="s">
        <v>127</v>
      </c>
      <c r="G6" t="s">
        <v>58</v>
      </c>
      <c r="H6" s="11">
        <f t="shared" si="2"/>
        <v>4.8477455816820525</v>
      </c>
      <c r="I6" s="11">
        <f t="shared" si="3"/>
        <v>0.65248341067934312</v>
      </c>
      <c r="J6" s="11">
        <f t="shared" si="0"/>
        <v>5.5002289923613956</v>
      </c>
      <c r="M6" s="9" t="s">
        <v>111</v>
      </c>
      <c r="N6" s="10" t="s">
        <v>132</v>
      </c>
      <c r="O6" t="s">
        <v>128</v>
      </c>
      <c r="P6" s="9">
        <v>18349.348114967361</v>
      </c>
      <c r="Q6" t="s">
        <v>127</v>
      </c>
      <c r="S6" t="s">
        <v>58</v>
      </c>
      <c r="T6" s="11">
        <f t="shared" si="4"/>
        <v>0.18889404282951311</v>
      </c>
      <c r="U6" s="11">
        <f t="shared" si="5"/>
        <v>0.553474349813462</v>
      </c>
      <c r="V6" s="11">
        <f t="shared" si="1"/>
        <v>0.74236839264297516</v>
      </c>
    </row>
    <row r="7" spans="1:22" x14ac:dyDescent="0.3">
      <c r="A7" s="9" t="s">
        <v>76</v>
      </c>
      <c r="B7" s="10" t="s">
        <v>125</v>
      </c>
      <c r="C7" t="s">
        <v>126</v>
      </c>
      <c r="D7" s="9">
        <v>1081076.9581642181</v>
      </c>
      <c r="E7" t="s">
        <v>127</v>
      </c>
      <c r="G7" t="s">
        <v>59</v>
      </c>
      <c r="H7" s="11">
        <f t="shared" si="2"/>
        <v>3.1762038332213272</v>
      </c>
      <c r="I7" s="11">
        <f t="shared" si="3"/>
        <v>0.62505252372884734</v>
      </c>
      <c r="J7" s="11">
        <f t="shared" si="0"/>
        <v>3.8012563569501747</v>
      </c>
      <c r="M7" s="9" t="s">
        <v>76</v>
      </c>
      <c r="N7" s="10" t="s">
        <v>132</v>
      </c>
      <c r="O7" t="s">
        <v>128</v>
      </c>
      <c r="P7" s="9">
        <v>83766.438655853344</v>
      </c>
      <c r="Q7" t="s">
        <v>127</v>
      </c>
      <c r="S7" t="s">
        <v>59</v>
      </c>
      <c r="T7" s="11">
        <f t="shared" si="4"/>
        <v>1.531226742076874E-2</v>
      </c>
      <c r="U7" s="11">
        <f t="shared" si="5"/>
        <v>0.53158119717407271</v>
      </c>
      <c r="V7" s="11">
        <f t="shared" si="1"/>
        <v>0.54689346459484145</v>
      </c>
    </row>
    <row r="8" spans="1:22" x14ac:dyDescent="0.3">
      <c r="A8" s="9" t="s">
        <v>81</v>
      </c>
      <c r="B8" s="10" t="s">
        <v>125</v>
      </c>
      <c r="C8" t="s">
        <v>126</v>
      </c>
      <c r="D8" s="9">
        <v>1504912.482897728</v>
      </c>
      <c r="E8" t="s">
        <v>127</v>
      </c>
      <c r="G8" t="s">
        <v>60</v>
      </c>
      <c r="H8" s="11">
        <f t="shared" si="2"/>
        <v>41.399920525362226</v>
      </c>
      <c r="I8" s="11">
        <f t="shared" si="3"/>
        <v>2.2447458088169272</v>
      </c>
      <c r="J8" s="11">
        <f t="shared" si="0"/>
        <v>43.644666334179156</v>
      </c>
      <c r="M8" s="9" t="s">
        <v>81</v>
      </c>
      <c r="N8" s="10" t="s">
        <v>132</v>
      </c>
      <c r="O8" t="s">
        <v>128</v>
      </c>
      <c r="P8" s="9">
        <v>140421.40761709161</v>
      </c>
      <c r="Q8" t="s">
        <v>127</v>
      </c>
      <c r="S8" t="s">
        <v>60</v>
      </c>
      <c r="T8" s="11">
        <f t="shared" si="4"/>
        <v>2.3389987937993868</v>
      </c>
      <c r="U8" s="11">
        <f t="shared" si="5"/>
        <v>1.89994868586062</v>
      </c>
      <c r="V8" s="11">
        <f t="shared" si="1"/>
        <v>4.2389474796600073</v>
      </c>
    </row>
    <row r="9" spans="1:22" x14ac:dyDescent="0.3">
      <c r="A9" s="9" t="s">
        <v>98</v>
      </c>
      <c r="B9" s="10" t="s">
        <v>125</v>
      </c>
      <c r="C9" t="s">
        <v>126</v>
      </c>
      <c r="D9" s="9">
        <v>11512379.36300838</v>
      </c>
      <c r="E9" t="s">
        <v>127</v>
      </c>
      <c r="G9" t="s">
        <v>61</v>
      </c>
      <c r="H9" s="11">
        <f t="shared" si="2"/>
        <v>7.758626056776821</v>
      </c>
      <c r="I9" s="11">
        <f t="shared" si="3"/>
        <v>0.97721655285740538</v>
      </c>
      <c r="J9" s="11">
        <f t="shared" si="0"/>
        <v>8.7358426096342257</v>
      </c>
      <c r="M9" s="9" t="s">
        <v>98</v>
      </c>
      <c r="N9" s="10" t="s">
        <v>132</v>
      </c>
      <c r="O9" t="s">
        <v>128</v>
      </c>
      <c r="P9" s="9">
        <v>631420.42559528118</v>
      </c>
      <c r="Q9" t="s">
        <v>127</v>
      </c>
      <c r="S9" t="s">
        <v>61</v>
      </c>
      <c r="T9" s="11">
        <f t="shared" si="4"/>
        <v>0.59112410235404855</v>
      </c>
      <c r="U9" s="11">
        <f t="shared" si="5"/>
        <v>0.8548363707966794</v>
      </c>
      <c r="V9" s="11">
        <f t="shared" si="1"/>
        <v>1.4459604731507278</v>
      </c>
    </row>
    <row r="10" spans="1:22" x14ac:dyDescent="0.3">
      <c r="A10" s="9" t="s">
        <v>70</v>
      </c>
      <c r="B10" s="10" t="s">
        <v>125</v>
      </c>
      <c r="C10" t="s">
        <v>126</v>
      </c>
      <c r="D10" s="9">
        <v>2563385.2098970702</v>
      </c>
      <c r="E10" t="s">
        <v>127</v>
      </c>
      <c r="G10" t="s">
        <v>62</v>
      </c>
      <c r="H10" s="11">
        <f t="shared" si="2"/>
        <v>1.879489866060271</v>
      </c>
      <c r="I10" s="11">
        <f t="shared" si="3"/>
        <v>0.37139750574493319</v>
      </c>
      <c r="J10" s="11">
        <f t="shared" si="0"/>
        <v>2.250887371805204</v>
      </c>
      <c r="M10" s="9" t="s">
        <v>70</v>
      </c>
      <c r="N10" s="10" t="s">
        <v>132</v>
      </c>
      <c r="O10" t="s">
        <v>128</v>
      </c>
      <c r="P10" s="9">
        <v>219506.34396219251</v>
      </c>
      <c r="Q10" t="s">
        <v>127</v>
      </c>
      <c r="S10" t="s">
        <v>62</v>
      </c>
      <c r="T10" s="11">
        <f t="shared" si="4"/>
        <v>5.736085405540494E-2</v>
      </c>
      <c r="U10" s="11">
        <f t="shared" si="5"/>
        <v>0.32387691416025099</v>
      </c>
      <c r="V10" s="11">
        <f t="shared" si="1"/>
        <v>0.38123776821565591</v>
      </c>
    </row>
    <row r="11" spans="1:22" x14ac:dyDescent="0.3">
      <c r="A11" s="9" t="s">
        <v>64</v>
      </c>
      <c r="B11" s="10" t="s">
        <v>125</v>
      </c>
      <c r="C11" t="s">
        <v>126</v>
      </c>
      <c r="D11" s="9">
        <v>7628319.1523490958</v>
      </c>
      <c r="E11" t="s">
        <v>127</v>
      </c>
      <c r="G11" t="s">
        <v>63</v>
      </c>
      <c r="H11" s="11">
        <f t="shared" si="2"/>
        <v>27.464732975555929</v>
      </c>
      <c r="I11" s="11">
        <f t="shared" si="3"/>
        <v>1.494185068305016</v>
      </c>
      <c r="J11" s="11">
        <f t="shared" si="0"/>
        <v>28.958918043860944</v>
      </c>
      <c r="M11" s="9" t="s">
        <v>64</v>
      </c>
      <c r="N11" s="10" t="s">
        <v>132</v>
      </c>
      <c r="O11" t="s">
        <v>128</v>
      </c>
      <c r="P11" s="9">
        <v>718811.32597923477</v>
      </c>
      <c r="Q11" t="s">
        <v>127</v>
      </c>
      <c r="S11" t="s">
        <v>63</v>
      </c>
      <c r="T11" s="11">
        <f t="shared" si="4"/>
        <v>0.49155159650230479</v>
      </c>
      <c r="U11" s="11">
        <f t="shared" si="5"/>
        <v>1.1466415711698459</v>
      </c>
      <c r="V11" s="11">
        <f t="shared" si="1"/>
        <v>1.6381931676721506</v>
      </c>
    </row>
    <row r="12" spans="1:22" x14ac:dyDescent="0.3">
      <c r="A12" s="9" t="s">
        <v>68</v>
      </c>
      <c r="B12" s="10" t="s">
        <v>125</v>
      </c>
      <c r="C12" t="s">
        <v>126</v>
      </c>
      <c r="D12" s="9">
        <v>1523450.64263628</v>
      </c>
      <c r="E12" t="s">
        <v>127</v>
      </c>
      <c r="G12" t="s">
        <v>64</v>
      </c>
      <c r="H12" s="11">
        <f t="shared" si="2"/>
        <v>7.6283191523490954</v>
      </c>
      <c r="I12" s="11">
        <f t="shared" si="3"/>
        <v>0.79834959670543837</v>
      </c>
      <c r="J12" s="11">
        <f t="shared" si="0"/>
        <v>8.4266687490545333</v>
      </c>
      <c r="M12" s="9" t="s">
        <v>68</v>
      </c>
      <c r="N12" s="10" t="s">
        <v>132</v>
      </c>
      <c r="O12" t="s">
        <v>128</v>
      </c>
      <c r="P12" s="9">
        <v>181234.95801496459</v>
      </c>
      <c r="Q12" t="s">
        <v>127</v>
      </c>
      <c r="S12" t="s">
        <v>64</v>
      </c>
      <c r="T12" s="11">
        <f t="shared" si="4"/>
        <v>0.52263913496875447</v>
      </c>
      <c r="U12" s="11">
        <f t="shared" si="5"/>
        <v>0.71881132597923481</v>
      </c>
      <c r="V12" s="11">
        <f t="shared" si="1"/>
        <v>1.2414504609479893</v>
      </c>
    </row>
    <row r="13" spans="1:22" x14ac:dyDescent="0.3">
      <c r="A13" s="9" t="s">
        <v>73</v>
      </c>
      <c r="B13" s="10" t="s">
        <v>125</v>
      </c>
      <c r="C13" t="s">
        <v>126</v>
      </c>
      <c r="D13" s="9">
        <v>1832963.5794725739</v>
      </c>
      <c r="E13" t="s">
        <v>127</v>
      </c>
      <c r="G13" t="s">
        <v>65</v>
      </c>
      <c r="H13" s="11">
        <f t="shared" si="2"/>
        <v>14.60436451658274</v>
      </c>
      <c r="I13" s="11">
        <f t="shared" si="3"/>
        <v>1.0449236212754309</v>
      </c>
      <c r="J13" s="11">
        <f t="shared" si="0"/>
        <v>15.649288137858171</v>
      </c>
      <c r="M13" s="9" t="s">
        <v>73</v>
      </c>
      <c r="N13" s="10" t="s">
        <v>132</v>
      </c>
      <c r="O13" t="s">
        <v>128</v>
      </c>
      <c r="P13" s="9">
        <v>127159.67867040601</v>
      </c>
      <c r="Q13" t="s">
        <v>127</v>
      </c>
      <c r="S13" t="s">
        <v>65</v>
      </c>
      <c r="T13" s="11">
        <f t="shared" si="4"/>
        <v>0.42740451157474457</v>
      </c>
      <c r="U13" s="11">
        <f t="shared" si="5"/>
        <v>0.92598699779129123</v>
      </c>
      <c r="V13" s="11">
        <f t="shared" si="1"/>
        <v>1.3533915093660358</v>
      </c>
    </row>
    <row r="14" spans="1:22" x14ac:dyDescent="0.3">
      <c r="A14" s="9" t="s">
        <v>69</v>
      </c>
      <c r="B14" s="10" t="s">
        <v>125</v>
      </c>
      <c r="C14" t="s">
        <v>126</v>
      </c>
      <c r="D14" s="9">
        <v>3043595.872125661</v>
      </c>
      <c r="E14" t="s">
        <v>127</v>
      </c>
      <c r="G14" t="s">
        <v>66</v>
      </c>
      <c r="H14" s="11">
        <f t="shared" si="2"/>
        <v>9.876115878510765</v>
      </c>
      <c r="I14" s="11">
        <f t="shared" si="3"/>
        <v>0.78726961982345667</v>
      </c>
      <c r="J14" s="11">
        <f t="shared" si="0"/>
        <v>10.663385498334222</v>
      </c>
      <c r="M14" s="9" t="s">
        <v>69</v>
      </c>
      <c r="N14" s="10" t="s">
        <v>132</v>
      </c>
      <c r="O14" t="s">
        <v>128</v>
      </c>
      <c r="P14" s="9">
        <v>298100.4602308278</v>
      </c>
      <c r="Q14" t="s">
        <v>127</v>
      </c>
      <c r="S14" t="s">
        <v>66</v>
      </c>
      <c r="T14" s="11">
        <f t="shared" si="4"/>
        <v>2.2852316383361878E-2</v>
      </c>
      <c r="U14" s="11">
        <f t="shared" si="5"/>
        <v>1.398924291944505E-2</v>
      </c>
      <c r="V14" s="11">
        <f t="shared" si="1"/>
        <v>3.6841559302806928E-2</v>
      </c>
    </row>
    <row r="15" spans="1:22" x14ac:dyDescent="0.3">
      <c r="A15" s="9" t="s">
        <v>79</v>
      </c>
      <c r="B15" s="10" t="s">
        <v>125</v>
      </c>
      <c r="C15" t="s">
        <v>126</v>
      </c>
      <c r="D15" s="9">
        <v>26673303.184836831</v>
      </c>
      <c r="E15" t="s">
        <v>127</v>
      </c>
      <c r="G15" t="s">
        <v>67</v>
      </c>
      <c r="H15" s="11">
        <f t="shared" si="2"/>
        <v>1.9635093577575808</v>
      </c>
      <c r="I15" s="11">
        <f t="shared" si="3"/>
        <v>0.21111286736345131</v>
      </c>
      <c r="J15" s="11">
        <f t="shared" si="0"/>
        <v>2.1746222251210323</v>
      </c>
      <c r="M15" s="9" t="s">
        <v>79</v>
      </c>
      <c r="N15" s="10" t="s">
        <v>132</v>
      </c>
      <c r="O15" t="s">
        <v>128</v>
      </c>
      <c r="P15" s="9">
        <v>1095758.856987956</v>
      </c>
      <c r="Q15" t="s">
        <v>127</v>
      </c>
      <c r="S15" t="s">
        <v>67</v>
      </c>
      <c r="T15" s="11">
        <f t="shared" si="4"/>
        <v>2.5365508142471301E-2</v>
      </c>
      <c r="U15" s="11">
        <f t="shared" si="5"/>
        <v>0.18797914951849018</v>
      </c>
      <c r="V15" s="11">
        <f t="shared" si="1"/>
        <v>0.21334465766096147</v>
      </c>
    </row>
    <row r="16" spans="1:22" x14ac:dyDescent="0.3">
      <c r="A16" s="9" t="s">
        <v>71</v>
      </c>
      <c r="B16" s="10" t="s">
        <v>125</v>
      </c>
      <c r="C16" t="s">
        <v>126</v>
      </c>
      <c r="D16" s="9">
        <v>25216746.597958948</v>
      </c>
      <c r="E16" t="s">
        <v>127</v>
      </c>
      <c r="G16" t="s">
        <v>68</v>
      </c>
      <c r="H16" s="11">
        <f t="shared" si="2"/>
        <v>1.5234506426362799</v>
      </c>
      <c r="I16" s="11">
        <f t="shared" si="3"/>
        <v>0.2032115932340629</v>
      </c>
      <c r="J16" s="11">
        <f t="shared" si="0"/>
        <v>1.726662235870343</v>
      </c>
      <c r="M16" s="9" t="s">
        <v>71</v>
      </c>
      <c r="N16" s="10" t="s">
        <v>132</v>
      </c>
      <c r="O16" t="s">
        <v>128</v>
      </c>
      <c r="P16" s="9">
        <v>134159.12447786369</v>
      </c>
      <c r="Q16" t="s">
        <v>127</v>
      </c>
      <c r="S16" t="s">
        <v>68</v>
      </c>
      <c r="T16" s="11">
        <f t="shared" si="4"/>
        <v>8.156340655517548E-2</v>
      </c>
      <c r="U16" s="11">
        <f t="shared" si="5"/>
        <v>0.18123495801496459</v>
      </c>
      <c r="V16" s="11">
        <f t="shared" si="1"/>
        <v>0.26279836457014005</v>
      </c>
    </row>
    <row r="17" spans="1:22" x14ac:dyDescent="0.3">
      <c r="A17" s="9" t="s">
        <v>72</v>
      </c>
      <c r="B17" s="10" t="s">
        <v>125</v>
      </c>
      <c r="C17" t="s">
        <v>126</v>
      </c>
      <c r="D17" s="9">
        <v>24436481.808469661</v>
      </c>
      <c r="E17" t="s">
        <v>127</v>
      </c>
      <c r="G17" t="s">
        <v>69</v>
      </c>
      <c r="H17" s="11">
        <f t="shared" si="2"/>
        <v>3.0435958721256609</v>
      </c>
      <c r="I17" s="11">
        <f t="shared" si="3"/>
        <v>0.33917489427852882</v>
      </c>
      <c r="J17" s="11">
        <f t="shared" si="0"/>
        <v>3.3827707664041897</v>
      </c>
      <c r="M17" s="9" t="s">
        <v>72</v>
      </c>
      <c r="N17" s="10" t="s">
        <v>132</v>
      </c>
      <c r="O17" t="s">
        <v>128</v>
      </c>
      <c r="P17" s="9">
        <v>685654.75813340896</v>
      </c>
      <c r="Q17" t="s">
        <v>127</v>
      </c>
      <c r="S17" t="s">
        <v>69</v>
      </c>
      <c r="T17" s="11">
        <f t="shared" si="4"/>
        <v>0.16888757013893091</v>
      </c>
      <c r="U17" s="11">
        <f t="shared" si="5"/>
        <v>0.29810046023082781</v>
      </c>
      <c r="V17" s="11">
        <f t="shared" si="1"/>
        <v>0.46698803036975872</v>
      </c>
    </row>
    <row r="18" spans="1:22" x14ac:dyDescent="0.3">
      <c r="A18" s="9" t="s">
        <v>65</v>
      </c>
      <c r="B18" s="10" t="s">
        <v>125</v>
      </c>
      <c r="C18" t="s">
        <v>126</v>
      </c>
      <c r="D18" s="9">
        <v>14604364.51658274</v>
      </c>
      <c r="E18" t="s">
        <v>127</v>
      </c>
      <c r="G18" t="s">
        <v>70</v>
      </c>
      <c r="H18" s="11">
        <f t="shared" si="2"/>
        <v>2.5633852098970702</v>
      </c>
      <c r="I18" s="11">
        <f t="shared" si="3"/>
        <v>0.25483027147817577</v>
      </c>
      <c r="J18" s="11">
        <f t="shared" si="0"/>
        <v>2.8182154813752458</v>
      </c>
      <c r="M18" s="9" t="s">
        <v>65</v>
      </c>
      <c r="N18" s="10" t="s">
        <v>132</v>
      </c>
      <c r="O18" t="s">
        <v>128</v>
      </c>
      <c r="P18" s="9">
        <v>925986.99779129121</v>
      </c>
      <c r="Q18" t="s">
        <v>127</v>
      </c>
      <c r="S18" t="s">
        <v>70</v>
      </c>
      <c r="T18" s="11">
        <f t="shared" si="4"/>
        <v>4.3385358378410233E-2</v>
      </c>
      <c r="U18" s="11">
        <f t="shared" si="5"/>
        <v>0.21950634396219251</v>
      </c>
      <c r="V18" s="11">
        <f t="shared" si="1"/>
        <v>0.26289170234060277</v>
      </c>
    </row>
    <row r="19" spans="1:22" x14ac:dyDescent="0.3">
      <c r="A19" s="9" t="s">
        <v>60</v>
      </c>
      <c r="B19" s="10" t="s">
        <v>125</v>
      </c>
      <c r="C19" t="s">
        <v>126</v>
      </c>
      <c r="D19" s="9">
        <v>41399920.525362223</v>
      </c>
      <c r="E19" t="s">
        <v>127</v>
      </c>
      <c r="G19" t="s">
        <v>71</v>
      </c>
      <c r="H19" s="11">
        <f t="shared" si="2"/>
        <v>25.216746597958949</v>
      </c>
      <c r="I19" s="11">
        <f t="shared" si="3"/>
        <v>1.02350110076761</v>
      </c>
      <c r="J19" s="11">
        <f t="shared" si="0"/>
        <v>26.240247698726559</v>
      </c>
      <c r="M19" s="9" t="s">
        <v>60</v>
      </c>
      <c r="N19" s="10" t="s">
        <v>132</v>
      </c>
      <c r="O19" t="s">
        <v>128</v>
      </c>
      <c r="P19" s="9">
        <v>1899948.6858606201</v>
      </c>
      <c r="Q19" t="s">
        <v>127</v>
      </c>
      <c r="S19" t="s">
        <v>71</v>
      </c>
      <c r="T19" s="11">
        <f t="shared" si="4"/>
        <v>1.754327034732845</v>
      </c>
      <c r="U19" s="11">
        <f t="shared" si="5"/>
        <v>0.13415912447786368</v>
      </c>
      <c r="V19" s="11">
        <f t="shared" si="1"/>
        <v>1.8884861592107087</v>
      </c>
    </row>
    <row r="20" spans="1:22" x14ac:dyDescent="0.3">
      <c r="A20" s="9" t="s">
        <v>66</v>
      </c>
      <c r="B20" s="10" t="s">
        <v>125</v>
      </c>
      <c r="C20" t="s">
        <v>126</v>
      </c>
      <c r="D20" s="9">
        <v>9876115.8785107657</v>
      </c>
      <c r="E20" t="s">
        <v>127</v>
      </c>
      <c r="G20" t="s">
        <v>72</v>
      </c>
      <c r="H20" s="11">
        <f t="shared" si="2"/>
        <v>24.436481808469662</v>
      </c>
      <c r="I20" s="11">
        <f t="shared" si="3"/>
        <v>0.99310654226113626</v>
      </c>
      <c r="J20" s="11">
        <f t="shared" si="0"/>
        <v>25.429588350730796</v>
      </c>
      <c r="M20" s="9" t="s">
        <v>66</v>
      </c>
      <c r="N20" s="10" t="s">
        <v>132</v>
      </c>
      <c r="O20" t="s">
        <v>128</v>
      </c>
      <c r="P20" s="9">
        <v>13989.242919445051</v>
      </c>
      <c r="Q20" t="s">
        <v>127</v>
      </c>
      <c r="S20" t="s">
        <v>72</v>
      </c>
      <c r="T20" s="11">
        <f t="shared" si="4"/>
        <v>3.8042181815368381</v>
      </c>
      <c r="U20" s="11">
        <f t="shared" si="5"/>
        <v>0.68565475813340893</v>
      </c>
      <c r="V20" s="11">
        <f t="shared" si="1"/>
        <v>4.4898729396702475</v>
      </c>
    </row>
    <row r="21" spans="1:22" x14ac:dyDescent="0.3">
      <c r="A21" s="9" t="s">
        <v>80</v>
      </c>
      <c r="B21" s="10" t="s">
        <v>125</v>
      </c>
      <c r="C21" t="s">
        <v>126</v>
      </c>
      <c r="D21" s="9">
        <v>10587712.4479456</v>
      </c>
      <c r="E21" t="s">
        <v>127</v>
      </c>
      <c r="G21" t="s">
        <v>73</v>
      </c>
      <c r="H21" s="11">
        <f t="shared" si="2"/>
        <v>1.832963579472574</v>
      </c>
      <c r="I21" s="11">
        <f t="shared" si="3"/>
        <v>0.14048610806131409</v>
      </c>
      <c r="J21" s="11">
        <f t="shared" si="0"/>
        <v>1.9734496875338881</v>
      </c>
      <c r="M21" s="9" t="s">
        <v>80</v>
      </c>
      <c r="N21" s="10" t="s">
        <v>132</v>
      </c>
      <c r="O21" t="s">
        <v>128</v>
      </c>
      <c r="P21" s="9">
        <v>326064.50272226171</v>
      </c>
      <c r="Q21" t="s">
        <v>127</v>
      </c>
      <c r="S21" t="s">
        <v>73</v>
      </c>
      <c r="T21" s="11">
        <f t="shared" si="4"/>
        <v>0.14735978625583632</v>
      </c>
      <c r="U21" s="11">
        <f t="shared" si="5"/>
        <v>0.12715967867040601</v>
      </c>
      <c r="V21" s="11">
        <f t="shared" si="1"/>
        <v>0.27451946492624235</v>
      </c>
    </row>
    <row r="22" spans="1:22" x14ac:dyDescent="0.3">
      <c r="A22" s="9" t="s">
        <v>82</v>
      </c>
      <c r="B22" s="10" t="s">
        <v>125</v>
      </c>
      <c r="C22" t="s">
        <v>126</v>
      </c>
      <c r="D22" s="9">
        <v>19704021.114184462</v>
      </c>
      <c r="E22" t="s">
        <v>127</v>
      </c>
      <c r="G22" t="s">
        <v>74</v>
      </c>
      <c r="H22" s="11">
        <f t="shared" si="2"/>
        <v>17.100495372796921</v>
      </c>
      <c r="I22" s="11">
        <f t="shared" si="3"/>
        <v>0.51736141401338476</v>
      </c>
      <c r="J22" s="11">
        <f t="shared" si="0"/>
        <v>17.617856786810307</v>
      </c>
      <c r="M22" s="9" t="s">
        <v>82</v>
      </c>
      <c r="N22" s="10" t="s">
        <v>132</v>
      </c>
      <c r="O22" t="s">
        <v>128</v>
      </c>
      <c r="P22" s="9">
        <v>248919.92376423001</v>
      </c>
      <c r="Q22" t="s">
        <v>127</v>
      </c>
      <c r="S22" t="s">
        <v>74</v>
      </c>
      <c r="T22" s="11">
        <f t="shared" si="4"/>
        <v>2.0878704199953599</v>
      </c>
      <c r="U22" s="11">
        <f t="shared" si="5"/>
        <v>0.14728094407653808</v>
      </c>
      <c r="V22" s="11">
        <f t="shared" si="1"/>
        <v>2.2351513640718981</v>
      </c>
    </row>
    <row r="23" spans="1:22" x14ac:dyDescent="0.3">
      <c r="A23" s="9" t="s">
        <v>75</v>
      </c>
      <c r="B23" s="10" t="s">
        <v>125</v>
      </c>
      <c r="C23" t="s">
        <v>126</v>
      </c>
      <c r="D23" s="9">
        <v>26013921.850878488</v>
      </c>
      <c r="E23" t="s">
        <v>127</v>
      </c>
      <c r="G23" t="s">
        <v>75</v>
      </c>
      <c r="H23" s="11">
        <f t="shared" si="2"/>
        <v>26.013921850878489</v>
      </c>
      <c r="I23" s="11">
        <f t="shared" si="3"/>
        <v>0.67074581120777321</v>
      </c>
      <c r="J23" s="11">
        <f t="shared" si="0"/>
        <v>26.684667662086262</v>
      </c>
      <c r="M23" s="9" t="s">
        <v>75</v>
      </c>
      <c r="N23" s="10" t="s">
        <v>132</v>
      </c>
      <c r="O23" t="s">
        <v>128</v>
      </c>
      <c r="P23" s="9">
        <v>272026.44053888333</v>
      </c>
      <c r="Q23" t="s">
        <v>127</v>
      </c>
      <c r="S23" t="s">
        <v>75</v>
      </c>
      <c r="T23" s="11">
        <f t="shared" si="4"/>
        <v>2.4148265945053353</v>
      </c>
      <c r="U23" s="11">
        <f t="shared" si="5"/>
        <v>0.27202644053888331</v>
      </c>
      <c r="V23" s="11">
        <f t="shared" si="1"/>
        <v>2.6868530350442188</v>
      </c>
    </row>
    <row r="24" spans="1:22" x14ac:dyDescent="0.3">
      <c r="A24" s="9" t="s">
        <v>84</v>
      </c>
      <c r="B24" s="10" t="s">
        <v>125</v>
      </c>
      <c r="C24" t="s">
        <v>126</v>
      </c>
      <c r="D24" s="9">
        <v>17169617.637996271</v>
      </c>
      <c r="E24" t="s">
        <v>127</v>
      </c>
      <c r="G24" t="s">
        <v>76</v>
      </c>
      <c r="H24" s="11">
        <f t="shared" si="2"/>
        <v>1.0810769581642181</v>
      </c>
      <c r="I24" s="11">
        <f t="shared" si="3"/>
        <v>9.2043358213901458E-2</v>
      </c>
      <c r="J24" s="11">
        <f t="shared" si="0"/>
        <v>1.1731203163781196</v>
      </c>
      <c r="M24" s="9" t="s">
        <v>84</v>
      </c>
      <c r="N24" s="10" t="s">
        <v>132</v>
      </c>
      <c r="O24" t="s">
        <v>128</v>
      </c>
      <c r="P24" s="9">
        <v>202194.66302490159</v>
      </c>
      <c r="Q24" t="s">
        <v>127</v>
      </c>
      <c r="S24" t="s">
        <v>76</v>
      </c>
      <c r="T24" s="11">
        <f t="shared" si="4"/>
        <v>3.7486985255241426E-2</v>
      </c>
      <c r="U24" s="11">
        <f t="shared" si="5"/>
        <v>8.3766438655853342E-2</v>
      </c>
      <c r="V24" s="11">
        <f t="shared" si="1"/>
        <v>0.12125342391109477</v>
      </c>
    </row>
    <row r="25" spans="1:22" x14ac:dyDescent="0.3">
      <c r="A25" s="9" t="s">
        <v>83</v>
      </c>
      <c r="B25" s="10" t="s">
        <v>125</v>
      </c>
      <c r="C25" t="s">
        <v>126</v>
      </c>
      <c r="D25" s="9">
        <v>9026633.4806367233</v>
      </c>
      <c r="E25" t="s">
        <v>127</v>
      </c>
      <c r="G25" t="s">
        <v>77</v>
      </c>
      <c r="H25" s="11">
        <f>SUM(H4:H24)</f>
        <v>252.1149578919665</v>
      </c>
      <c r="I25" s="11">
        <f>SUM(I4:I24)</f>
        <v>15.858171095986407</v>
      </c>
      <c r="J25" s="11">
        <f t="shared" si="0"/>
        <v>267.97312898795292</v>
      </c>
      <c r="M25" s="9" t="s">
        <v>83</v>
      </c>
      <c r="N25" s="10" t="s">
        <v>132</v>
      </c>
      <c r="O25" t="s">
        <v>128</v>
      </c>
      <c r="P25" s="9">
        <v>173303.9138140686</v>
      </c>
      <c r="Q25" t="s">
        <v>127</v>
      </c>
      <c r="S25" t="s">
        <v>77</v>
      </c>
      <c r="T25" s="11">
        <f>SUM(T4:T24)</f>
        <v>16.251343420664089</v>
      </c>
      <c r="U25" s="11">
        <f>SUM(U4:U24)</f>
        <v>10.935343347199421</v>
      </c>
      <c r="V25" s="11">
        <f t="shared" si="1"/>
        <v>27.18668676786351</v>
      </c>
    </row>
    <row r="26" spans="1:22" x14ac:dyDescent="0.3">
      <c r="A26" s="9" t="s">
        <v>74</v>
      </c>
      <c r="B26" s="10" t="s">
        <v>125</v>
      </c>
      <c r="C26" t="s">
        <v>126</v>
      </c>
      <c r="D26" s="9">
        <v>17100495.372796919</v>
      </c>
      <c r="E26" t="s">
        <v>127</v>
      </c>
      <c r="G26" t="s">
        <v>78</v>
      </c>
      <c r="H26" s="11">
        <f>SUMIF($A$3:$A$33,$G26,$D$3:$D$33)/1000000</f>
        <v>12.810557243432891</v>
      </c>
      <c r="I26" s="11">
        <f>SUMIF($A$34:$A$64,$G26,$D$34:$D$64)/1000000</f>
        <v>1.1838063265318932</v>
      </c>
      <c r="J26" s="11">
        <f t="shared" si="0"/>
        <v>13.994363569964785</v>
      </c>
      <c r="M26" s="9" t="s">
        <v>74</v>
      </c>
      <c r="N26" s="10" t="s">
        <v>132</v>
      </c>
      <c r="O26" t="s">
        <v>128</v>
      </c>
      <c r="P26" s="9">
        <v>147280.94407653809</v>
      </c>
      <c r="Q26" t="s">
        <v>127</v>
      </c>
      <c r="S26" t="s">
        <v>78</v>
      </c>
      <c r="T26" s="11">
        <f t="shared" si="4"/>
        <v>0.21148413841056879</v>
      </c>
      <c r="U26" s="11">
        <f t="shared" si="5"/>
        <v>0.97051126822234424</v>
      </c>
      <c r="V26" s="11">
        <f t="shared" si="1"/>
        <v>1.181995406632913</v>
      </c>
    </row>
    <row r="27" spans="1:22" x14ac:dyDescent="0.3">
      <c r="A27" s="9" t="s">
        <v>56</v>
      </c>
      <c r="B27" s="10" t="s">
        <v>125</v>
      </c>
      <c r="C27" t="s">
        <v>126</v>
      </c>
      <c r="D27" s="9">
        <v>6474247.526741581</v>
      </c>
      <c r="E27" t="s">
        <v>127</v>
      </c>
      <c r="G27" t="s">
        <v>99</v>
      </c>
      <c r="H27" s="11">
        <f t="shared" ref="H27:H35" si="6">SUMIF($A$3:$A$33,$G27,$D$3:$D$33)/1000000</f>
        <v>11.51237936300838</v>
      </c>
      <c r="I27" s="11">
        <f t="shared" ref="I27:I35" si="7">SUMIF($A$34:$A$64,$G27,$D$34:$D$64)/1000000</f>
        <v>0.97772948949575877</v>
      </c>
      <c r="J27" s="11">
        <f t="shared" si="0"/>
        <v>12.490108852504139</v>
      </c>
      <c r="M27" s="9" t="s">
        <v>56</v>
      </c>
      <c r="N27" s="10" t="s">
        <v>132</v>
      </c>
      <c r="O27" t="s">
        <v>128</v>
      </c>
      <c r="P27" s="9">
        <v>826730.29815530579</v>
      </c>
      <c r="Q27" t="s">
        <v>127</v>
      </c>
      <c r="S27" t="s">
        <v>99</v>
      </c>
      <c r="T27" s="11">
        <f t="shared" si="4"/>
        <v>0.79658371603583678</v>
      </c>
      <c r="U27" s="11">
        <f t="shared" si="5"/>
        <v>0.63142042559528122</v>
      </c>
      <c r="V27" s="11">
        <f t="shared" si="1"/>
        <v>1.428004141631118</v>
      </c>
    </row>
    <row r="28" spans="1:22" x14ac:dyDescent="0.3">
      <c r="A28" s="9" t="s">
        <v>58</v>
      </c>
      <c r="B28" s="10" t="s">
        <v>125</v>
      </c>
      <c r="C28" t="s">
        <v>126</v>
      </c>
      <c r="D28" s="9">
        <v>4847745.5816820525</v>
      </c>
      <c r="E28" t="s">
        <v>127</v>
      </c>
      <c r="G28" t="s">
        <v>79</v>
      </c>
      <c r="H28" s="11">
        <f t="shared" si="6"/>
        <v>26.673303184836833</v>
      </c>
      <c r="I28" s="11">
        <f t="shared" si="7"/>
        <v>1.185793261952877</v>
      </c>
      <c r="J28" s="11">
        <f t="shared" si="0"/>
        <v>27.85909644678971</v>
      </c>
      <c r="M28" s="9" t="s">
        <v>58</v>
      </c>
      <c r="N28" s="10" t="s">
        <v>132</v>
      </c>
      <c r="O28" t="s">
        <v>128</v>
      </c>
      <c r="P28" s="9">
        <v>553474.349813462</v>
      </c>
      <c r="Q28" t="s">
        <v>127</v>
      </c>
      <c r="S28" t="s">
        <v>79</v>
      </c>
      <c r="T28" s="11">
        <f t="shared" si="4"/>
        <v>3.643818454106329</v>
      </c>
      <c r="U28" s="11">
        <f t="shared" si="5"/>
        <v>1.0957588569879559</v>
      </c>
      <c r="V28" s="11">
        <f t="shared" si="1"/>
        <v>4.7395773110942852</v>
      </c>
    </row>
    <row r="29" spans="1:22" x14ac:dyDescent="0.3">
      <c r="A29" s="9" t="s">
        <v>62</v>
      </c>
      <c r="B29" s="10" t="s">
        <v>125</v>
      </c>
      <c r="C29" t="s">
        <v>126</v>
      </c>
      <c r="D29" s="9">
        <v>1879489.8660602709</v>
      </c>
      <c r="E29" t="s">
        <v>127</v>
      </c>
      <c r="G29" t="s">
        <v>109</v>
      </c>
      <c r="H29" s="11">
        <f t="shared" si="6"/>
        <v>2.557656369944485</v>
      </c>
      <c r="I29" s="11">
        <f t="shared" si="7"/>
        <v>0.33171007764768434</v>
      </c>
      <c r="J29" s="11">
        <f t="shared" si="0"/>
        <v>2.8893664475921694</v>
      </c>
      <c r="M29" s="9" t="s">
        <v>62</v>
      </c>
      <c r="N29" s="10" t="s">
        <v>132</v>
      </c>
      <c r="O29" t="s">
        <v>128</v>
      </c>
      <c r="P29" s="9">
        <v>323876.91416025098</v>
      </c>
      <c r="Q29" t="s">
        <v>127</v>
      </c>
      <c r="S29" t="s">
        <v>109</v>
      </c>
      <c r="T29" s="11">
        <f t="shared" si="4"/>
        <v>0.18715215425872819</v>
      </c>
      <c r="U29" s="11">
        <f t="shared" si="5"/>
        <v>0.24269866718816802</v>
      </c>
      <c r="V29" s="11">
        <f t="shared" si="1"/>
        <v>0.42985082144689624</v>
      </c>
    </row>
    <row r="30" spans="1:22" x14ac:dyDescent="0.3">
      <c r="A30" s="9" t="s">
        <v>59</v>
      </c>
      <c r="B30" s="10" t="s">
        <v>125</v>
      </c>
      <c r="C30" t="s">
        <v>126</v>
      </c>
      <c r="D30" s="9">
        <v>3176203.833221327</v>
      </c>
      <c r="E30" t="s">
        <v>127</v>
      </c>
      <c r="G30" t="s">
        <v>80</v>
      </c>
      <c r="H30" s="11">
        <f t="shared" si="6"/>
        <v>10.5877124479456</v>
      </c>
      <c r="I30" s="11">
        <f t="shared" si="7"/>
        <v>0.72041262262678374</v>
      </c>
      <c r="J30" s="11">
        <f t="shared" si="0"/>
        <v>11.308125070572384</v>
      </c>
      <c r="M30" s="9" t="s">
        <v>59</v>
      </c>
      <c r="N30" s="10" t="s">
        <v>132</v>
      </c>
      <c r="O30" t="s">
        <v>128</v>
      </c>
      <c r="P30" s="9">
        <v>531581.19717407273</v>
      </c>
      <c r="Q30" t="s">
        <v>127</v>
      </c>
      <c r="S30" t="s">
        <v>80</v>
      </c>
      <c r="T30" s="11">
        <f t="shared" si="4"/>
        <v>0.88057807169818458</v>
      </c>
      <c r="U30" s="11">
        <f t="shared" si="5"/>
        <v>0.32606450272226173</v>
      </c>
      <c r="V30" s="11">
        <f t="shared" si="1"/>
        <v>1.2066425744204463</v>
      </c>
    </row>
    <row r="31" spans="1:22" x14ac:dyDescent="0.3">
      <c r="A31" s="9" t="s">
        <v>61</v>
      </c>
      <c r="B31" s="10" t="s">
        <v>125</v>
      </c>
      <c r="C31" t="s">
        <v>126</v>
      </c>
      <c r="D31" s="9">
        <v>7758626.0567768207</v>
      </c>
      <c r="E31" t="s">
        <v>127</v>
      </c>
      <c r="G31" t="s">
        <v>81</v>
      </c>
      <c r="H31" s="11">
        <f t="shared" si="6"/>
        <v>1.5049124828977281</v>
      </c>
      <c r="I31" s="11">
        <f t="shared" si="7"/>
        <v>0.16432746280336311</v>
      </c>
      <c r="J31" s="11">
        <f t="shared" si="0"/>
        <v>1.6692399457010911</v>
      </c>
      <c r="M31" s="9" t="s">
        <v>61</v>
      </c>
      <c r="N31" s="10" t="s">
        <v>132</v>
      </c>
      <c r="O31" t="s">
        <v>128</v>
      </c>
      <c r="P31" s="9">
        <v>854836.3707966794</v>
      </c>
      <c r="Q31" t="s">
        <v>127</v>
      </c>
      <c r="S31" t="s">
        <v>81</v>
      </c>
      <c r="T31" s="11">
        <f t="shared" si="4"/>
        <v>3.9620472106933653E-2</v>
      </c>
      <c r="U31" s="11">
        <f t="shared" si="5"/>
        <v>0.1404214076170916</v>
      </c>
      <c r="V31" s="11">
        <f t="shared" si="1"/>
        <v>0.18004187972402524</v>
      </c>
    </row>
    <row r="32" spans="1:22" x14ac:dyDescent="0.3">
      <c r="A32" s="9" t="s">
        <v>78</v>
      </c>
      <c r="B32" s="10" t="s">
        <v>125</v>
      </c>
      <c r="C32" t="s">
        <v>126</v>
      </c>
      <c r="D32" s="9">
        <v>12810557.243432891</v>
      </c>
      <c r="E32" t="s">
        <v>127</v>
      </c>
      <c r="G32" t="s">
        <v>82</v>
      </c>
      <c r="H32" s="11">
        <f t="shared" si="6"/>
        <v>19.70402111418446</v>
      </c>
      <c r="I32" s="11">
        <f t="shared" si="7"/>
        <v>0.94485632358598981</v>
      </c>
      <c r="J32" s="11">
        <f t="shared" si="0"/>
        <v>20.648877437770452</v>
      </c>
      <c r="M32" s="9" t="s">
        <v>78</v>
      </c>
      <c r="N32" s="10" t="s">
        <v>132</v>
      </c>
      <c r="O32" t="s">
        <v>128</v>
      </c>
      <c r="P32" s="9">
        <v>970511.26822234422</v>
      </c>
      <c r="Q32" t="s">
        <v>127</v>
      </c>
      <c r="S32" t="s">
        <v>82</v>
      </c>
      <c r="T32" s="11">
        <f t="shared" si="4"/>
        <v>3.8164892730551121</v>
      </c>
      <c r="U32" s="11">
        <f t="shared" si="5"/>
        <v>0.24891992376423003</v>
      </c>
      <c r="V32" s="11">
        <f t="shared" si="1"/>
        <v>4.065409196819342</v>
      </c>
    </row>
    <row r="33" spans="1:22" x14ac:dyDescent="0.3">
      <c r="A33" s="9" t="s">
        <v>57</v>
      </c>
      <c r="B33" s="10" t="s">
        <v>125</v>
      </c>
      <c r="C33" t="s">
        <v>126</v>
      </c>
      <c r="D33" s="9">
        <v>22229564.728966281</v>
      </c>
      <c r="E33" t="s">
        <v>127</v>
      </c>
      <c r="G33" t="s">
        <v>112</v>
      </c>
      <c r="H33" s="11">
        <f t="shared" si="6"/>
        <v>1.8392707976274461</v>
      </c>
      <c r="I33" s="11">
        <f t="shared" si="7"/>
        <v>0.16035938194131841</v>
      </c>
      <c r="J33" s="11">
        <f t="shared" si="0"/>
        <v>1.9996301795687645</v>
      </c>
      <c r="M33" s="9" t="s">
        <v>57</v>
      </c>
      <c r="N33" s="10" t="s">
        <v>132</v>
      </c>
      <c r="O33" t="s">
        <v>128</v>
      </c>
      <c r="P33" s="9">
        <v>802598.09709978173</v>
      </c>
      <c r="Q33" t="s">
        <v>127</v>
      </c>
      <c r="S33" t="s">
        <v>112</v>
      </c>
      <c r="T33" s="11">
        <f t="shared" si="4"/>
        <v>0.2673053761196148</v>
      </c>
      <c r="U33" s="11">
        <f t="shared" si="5"/>
        <v>1.834934811496736E-2</v>
      </c>
      <c r="V33" s="11">
        <f t="shared" si="1"/>
        <v>0.28565472423458216</v>
      </c>
    </row>
    <row r="34" spans="1:22" x14ac:dyDescent="0.3">
      <c r="A34" s="9" t="s">
        <v>108</v>
      </c>
      <c r="B34" s="10" t="s">
        <v>125</v>
      </c>
      <c r="C34" t="s">
        <v>128</v>
      </c>
      <c r="D34" s="9">
        <v>331710.07764768432</v>
      </c>
      <c r="E34" t="s">
        <v>127</v>
      </c>
      <c r="G34" t="s">
        <v>83</v>
      </c>
      <c r="H34" s="11">
        <f t="shared" si="6"/>
        <v>9.0266334806367237</v>
      </c>
      <c r="I34" s="11">
        <f t="shared" si="7"/>
        <v>0.2920850138988495</v>
      </c>
      <c r="J34" s="11">
        <f t="shared" si="0"/>
        <v>9.3187184945355739</v>
      </c>
      <c r="M34" s="9" t="s">
        <v>108</v>
      </c>
      <c r="N34" s="10" t="s">
        <v>132</v>
      </c>
      <c r="O34" t="s">
        <v>126</v>
      </c>
      <c r="P34" s="9">
        <v>187152.1542587282</v>
      </c>
      <c r="Q34" t="s">
        <v>127</v>
      </c>
      <c r="S34" t="s">
        <v>83</v>
      </c>
      <c r="T34" s="11">
        <f t="shared" si="4"/>
        <v>1.848580175203328</v>
      </c>
      <c r="U34" s="11">
        <f t="shared" si="5"/>
        <v>0.17330391381406859</v>
      </c>
      <c r="V34" s="11">
        <f t="shared" si="1"/>
        <v>2.0218840890173966</v>
      </c>
    </row>
    <row r="35" spans="1:22" x14ac:dyDescent="0.3">
      <c r="A35" s="9" t="s">
        <v>67</v>
      </c>
      <c r="B35" s="10" t="s">
        <v>125</v>
      </c>
      <c r="C35" t="s">
        <v>128</v>
      </c>
      <c r="D35" s="9">
        <v>211112.86736345131</v>
      </c>
      <c r="E35" t="s">
        <v>127</v>
      </c>
      <c r="G35" t="s">
        <v>84</v>
      </c>
      <c r="H35" s="11">
        <f t="shared" si="6"/>
        <v>17.169617637996271</v>
      </c>
      <c r="I35" s="11">
        <f t="shared" si="7"/>
        <v>0.26338099454021613</v>
      </c>
      <c r="J35" s="11">
        <f t="shared" si="0"/>
        <v>17.432998632536489</v>
      </c>
      <c r="M35" s="9" t="s">
        <v>67</v>
      </c>
      <c r="N35" s="10" t="s">
        <v>132</v>
      </c>
      <c r="O35" t="s">
        <v>126</v>
      </c>
      <c r="P35" s="9">
        <v>25365.508142471299</v>
      </c>
      <c r="Q35" t="s">
        <v>127</v>
      </c>
      <c r="S35" t="s">
        <v>84</v>
      </c>
      <c r="T35" s="11">
        <f t="shared" si="4"/>
        <v>6.6862999649914752</v>
      </c>
      <c r="U35" s="11">
        <f t="shared" si="5"/>
        <v>0.20219466302490158</v>
      </c>
      <c r="V35" s="11">
        <f t="shared" si="1"/>
        <v>6.8884946280163764</v>
      </c>
    </row>
    <row r="36" spans="1:22" x14ac:dyDescent="0.3">
      <c r="A36" s="9" t="s">
        <v>63</v>
      </c>
      <c r="B36" s="10" t="s">
        <v>125</v>
      </c>
      <c r="C36" t="s">
        <v>128</v>
      </c>
      <c r="D36" s="9">
        <v>1494185.068305016</v>
      </c>
      <c r="E36" t="s">
        <v>127</v>
      </c>
      <c r="G36" t="s">
        <v>85</v>
      </c>
      <c r="H36" s="11">
        <f>SUM(H26:H35)</f>
        <v>113.3860641225108</v>
      </c>
      <c r="I36" s="11">
        <f>SUM(I26:I35)</f>
        <v>6.2244609550247336</v>
      </c>
      <c r="J36" s="11">
        <f>SUM(H36:I36)</f>
        <v>119.61052507753554</v>
      </c>
      <c r="M36" s="9" t="s">
        <v>63</v>
      </c>
      <c r="N36" s="10" t="s">
        <v>132</v>
      </c>
      <c r="O36" t="s">
        <v>126</v>
      </c>
      <c r="P36" s="9">
        <v>491551.59650230478</v>
      </c>
      <c r="Q36" t="s">
        <v>127</v>
      </c>
      <c r="S36" t="s">
        <v>85</v>
      </c>
      <c r="T36" s="11">
        <f>SUM(T26:T35)</f>
        <v>18.377911795986108</v>
      </c>
      <c r="U36" s="11">
        <f>SUM(U26:U35)</f>
        <v>4.0496429770512696</v>
      </c>
      <c r="V36" s="11">
        <f>SUM(T36:U36)</f>
        <v>22.427554773037379</v>
      </c>
    </row>
    <row r="37" spans="1:22" x14ac:dyDescent="0.3">
      <c r="A37" s="9" t="s">
        <v>111</v>
      </c>
      <c r="B37" s="10" t="s">
        <v>125</v>
      </c>
      <c r="C37" t="s">
        <v>128</v>
      </c>
      <c r="D37" s="9">
        <v>160359.3819413184</v>
      </c>
      <c r="E37" t="s">
        <v>127</v>
      </c>
      <c r="M37" s="9" t="s">
        <v>111</v>
      </c>
      <c r="N37" s="10" t="s">
        <v>132</v>
      </c>
      <c r="O37" t="s">
        <v>126</v>
      </c>
      <c r="P37" s="9">
        <v>267305.37611961481</v>
      </c>
      <c r="Q37" t="s">
        <v>127</v>
      </c>
    </row>
    <row r="38" spans="1:22" x14ac:dyDescent="0.3">
      <c r="A38" s="9" t="s">
        <v>76</v>
      </c>
      <c r="B38" s="10" t="s">
        <v>125</v>
      </c>
      <c r="C38" t="s">
        <v>128</v>
      </c>
      <c r="D38" s="9">
        <v>92043.358213901462</v>
      </c>
      <c r="E38" t="s">
        <v>127</v>
      </c>
      <c r="M38" s="9" t="s">
        <v>76</v>
      </c>
      <c r="N38" s="10" t="s">
        <v>132</v>
      </c>
      <c r="O38" t="s">
        <v>126</v>
      </c>
      <c r="P38" s="9">
        <v>37486.985255241423</v>
      </c>
      <c r="Q38" t="s">
        <v>127</v>
      </c>
    </row>
    <row r="39" spans="1:22" x14ac:dyDescent="0.3">
      <c r="A39" s="9" t="s">
        <v>81</v>
      </c>
      <c r="B39" s="10" t="s">
        <v>125</v>
      </c>
      <c r="C39" t="s">
        <v>128</v>
      </c>
      <c r="D39" s="9">
        <v>164327.4628033631</v>
      </c>
      <c r="E39" t="s">
        <v>127</v>
      </c>
      <c r="M39" s="9" t="s">
        <v>81</v>
      </c>
      <c r="N39" s="10" t="s">
        <v>132</v>
      </c>
      <c r="O39" t="s">
        <v>126</v>
      </c>
      <c r="P39" s="9">
        <v>39620.472106933652</v>
      </c>
      <c r="Q39" t="s">
        <v>127</v>
      </c>
    </row>
    <row r="40" spans="1:22" x14ac:dyDescent="0.3">
      <c r="A40" s="9" t="s">
        <v>98</v>
      </c>
      <c r="B40" s="10" t="s">
        <v>125</v>
      </c>
      <c r="C40" t="s">
        <v>128</v>
      </c>
      <c r="D40" s="9">
        <v>977729.48949575878</v>
      </c>
      <c r="E40" t="s">
        <v>127</v>
      </c>
      <c r="M40" s="9" t="s">
        <v>98</v>
      </c>
      <c r="N40" s="10" t="s">
        <v>132</v>
      </c>
      <c r="O40" t="s">
        <v>126</v>
      </c>
      <c r="P40" s="9">
        <v>796583.71603583673</v>
      </c>
      <c r="Q40" t="s">
        <v>127</v>
      </c>
    </row>
    <row r="41" spans="1:22" x14ac:dyDescent="0.3">
      <c r="A41" s="9" t="s">
        <v>70</v>
      </c>
      <c r="B41" s="10" t="s">
        <v>125</v>
      </c>
      <c r="C41" t="s">
        <v>128</v>
      </c>
      <c r="D41" s="9">
        <v>254830.2714781758</v>
      </c>
      <c r="E41" t="s">
        <v>127</v>
      </c>
      <c r="M41" s="9" t="s">
        <v>70</v>
      </c>
      <c r="N41" s="10" t="s">
        <v>132</v>
      </c>
      <c r="O41" t="s">
        <v>126</v>
      </c>
      <c r="P41" s="9">
        <v>43385.35837841023</v>
      </c>
      <c r="Q41" t="s">
        <v>127</v>
      </c>
    </row>
    <row r="42" spans="1:22" x14ac:dyDescent="0.3">
      <c r="A42" s="9" t="s">
        <v>64</v>
      </c>
      <c r="B42" s="10" t="s">
        <v>125</v>
      </c>
      <c r="C42" t="s">
        <v>128</v>
      </c>
      <c r="D42" s="9">
        <v>798349.59670543834</v>
      </c>
      <c r="E42" t="s">
        <v>127</v>
      </c>
      <c r="M42" s="9" t="s">
        <v>64</v>
      </c>
      <c r="N42" s="10" t="s">
        <v>132</v>
      </c>
      <c r="O42" t="s">
        <v>126</v>
      </c>
      <c r="P42" s="9">
        <v>522639.13496875449</v>
      </c>
      <c r="Q42" t="s">
        <v>127</v>
      </c>
    </row>
    <row r="43" spans="1:22" x14ac:dyDescent="0.3">
      <c r="A43" s="9" t="s">
        <v>68</v>
      </c>
      <c r="B43" s="10" t="s">
        <v>125</v>
      </c>
      <c r="C43" t="s">
        <v>128</v>
      </c>
      <c r="D43" s="9">
        <v>203211.59323406289</v>
      </c>
      <c r="E43" t="s">
        <v>127</v>
      </c>
      <c r="M43" s="9" t="s">
        <v>68</v>
      </c>
      <c r="N43" s="10" t="s">
        <v>132</v>
      </c>
      <c r="O43" t="s">
        <v>126</v>
      </c>
      <c r="P43" s="9">
        <v>81563.406555175476</v>
      </c>
      <c r="Q43" t="s">
        <v>127</v>
      </c>
    </row>
    <row r="44" spans="1:22" x14ac:dyDescent="0.3">
      <c r="A44" s="9" t="s">
        <v>73</v>
      </c>
      <c r="B44" s="10" t="s">
        <v>125</v>
      </c>
      <c r="C44" t="s">
        <v>128</v>
      </c>
      <c r="D44" s="9">
        <v>140486.10806131409</v>
      </c>
      <c r="E44" t="s">
        <v>127</v>
      </c>
      <c r="M44" s="9" t="s">
        <v>73</v>
      </c>
      <c r="N44" s="10" t="s">
        <v>132</v>
      </c>
      <c r="O44" t="s">
        <v>126</v>
      </c>
      <c r="P44" s="9">
        <v>147359.78625583631</v>
      </c>
      <c r="Q44" t="s">
        <v>127</v>
      </c>
    </row>
    <row r="45" spans="1:22" x14ac:dyDescent="0.3">
      <c r="A45" s="9" t="s">
        <v>69</v>
      </c>
      <c r="B45" s="10" t="s">
        <v>125</v>
      </c>
      <c r="C45" t="s">
        <v>128</v>
      </c>
      <c r="D45" s="9">
        <v>339174.89427852881</v>
      </c>
      <c r="E45" t="s">
        <v>127</v>
      </c>
      <c r="M45" s="9" t="s">
        <v>69</v>
      </c>
      <c r="N45" s="10" t="s">
        <v>132</v>
      </c>
      <c r="O45" t="s">
        <v>126</v>
      </c>
      <c r="P45" s="9">
        <v>168887.5701389309</v>
      </c>
      <c r="Q45" t="s">
        <v>127</v>
      </c>
    </row>
    <row r="46" spans="1:22" x14ac:dyDescent="0.3">
      <c r="A46" s="9" t="s">
        <v>79</v>
      </c>
      <c r="B46" s="10" t="s">
        <v>125</v>
      </c>
      <c r="C46" t="s">
        <v>128</v>
      </c>
      <c r="D46" s="9">
        <v>1185793.261952877</v>
      </c>
      <c r="E46" t="s">
        <v>127</v>
      </c>
      <c r="M46" s="9" t="s">
        <v>79</v>
      </c>
      <c r="N46" s="10" t="s">
        <v>132</v>
      </c>
      <c r="O46" t="s">
        <v>126</v>
      </c>
      <c r="P46" s="9">
        <v>3643818.454106329</v>
      </c>
      <c r="Q46" t="s">
        <v>127</v>
      </c>
    </row>
    <row r="47" spans="1:22" x14ac:dyDescent="0.3">
      <c r="A47" s="9" t="s">
        <v>71</v>
      </c>
      <c r="B47" s="10" t="s">
        <v>125</v>
      </c>
      <c r="C47" t="s">
        <v>128</v>
      </c>
      <c r="D47" s="9">
        <v>1023501.10076761</v>
      </c>
      <c r="E47" t="s">
        <v>127</v>
      </c>
      <c r="M47" s="9" t="s">
        <v>71</v>
      </c>
      <c r="N47" s="10" t="s">
        <v>132</v>
      </c>
      <c r="O47" t="s">
        <v>126</v>
      </c>
      <c r="P47" s="9">
        <v>1754327.0347328449</v>
      </c>
      <c r="Q47" t="s">
        <v>127</v>
      </c>
    </row>
    <row r="48" spans="1:22" x14ac:dyDescent="0.3">
      <c r="A48" s="9" t="s">
        <v>72</v>
      </c>
      <c r="B48" s="10" t="s">
        <v>125</v>
      </c>
      <c r="C48" t="s">
        <v>128</v>
      </c>
      <c r="D48" s="9">
        <v>993106.54226113623</v>
      </c>
      <c r="E48" t="s">
        <v>127</v>
      </c>
      <c r="M48" s="9" t="s">
        <v>72</v>
      </c>
      <c r="N48" s="10" t="s">
        <v>132</v>
      </c>
      <c r="O48" t="s">
        <v>126</v>
      </c>
      <c r="P48" s="9">
        <v>3804218.1815368379</v>
      </c>
      <c r="Q48" t="s">
        <v>127</v>
      </c>
    </row>
    <row r="49" spans="1:17" x14ac:dyDescent="0.3">
      <c r="A49" s="9" t="s">
        <v>65</v>
      </c>
      <c r="B49" s="10" t="s">
        <v>125</v>
      </c>
      <c r="C49" t="s">
        <v>128</v>
      </c>
      <c r="D49" s="9">
        <v>1044923.621275431</v>
      </c>
      <c r="E49" t="s">
        <v>127</v>
      </c>
      <c r="M49" s="9" t="s">
        <v>65</v>
      </c>
      <c r="N49" s="10" t="s">
        <v>132</v>
      </c>
      <c r="O49" t="s">
        <v>126</v>
      </c>
      <c r="P49" s="9">
        <v>427404.5115747446</v>
      </c>
      <c r="Q49" t="s">
        <v>127</v>
      </c>
    </row>
    <row r="50" spans="1:17" x14ac:dyDescent="0.3">
      <c r="A50" s="9" t="s">
        <v>60</v>
      </c>
      <c r="B50" s="10" t="s">
        <v>125</v>
      </c>
      <c r="C50" t="s">
        <v>128</v>
      </c>
      <c r="D50" s="9">
        <v>2244745.808816927</v>
      </c>
      <c r="E50" t="s">
        <v>127</v>
      </c>
      <c r="M50" s="9" t="s">
        <v>60</v>
      </c>
      <c r="N50" s="10" t="s">
        <v>132</v>
      </c>
      <c r="O50" t="s">
        <v>126</v>
      </c>
      <c r="P50" s="9">
        <v>2338998.7937993868</v>
      </c>
      <c r="Q50" t="s">
        <v>127</v>
      </c>
    </row>
    <row r="51" spans="1:17" x14ac:dyDescent="0.3">
      <c r="A51" s="9" t="s">
        <v>66</v>
      </c>
      <c r="B51" s="10" t="s">
        <v>125</v>
      </c>
      <c r="C51" t="s">
        <v>128</v>
      </c>
      <c r="D51" s="9">
        <v>787269.61982345663</v>
      </c>
      <c r="E51" t="s">
        <v>127</v>
      </c>
      <c r="M51" s="9" t="s">
        <v>66</v>
      </c>
      <c r="N51" s="10" t="s">
        <v>132</v>
      </c>
      <c r="O51" t="s">
        <v>126</v>
      </c>
      <c r="P51" s="9">
        <v>22852.316383361878</v>
      </c>
      <c r="Q51" t="s">
        <v>127</v>
      </c>
    </row>
    <row r="52" spans="1:17" x14ac:dyDescent="0.3">
      <c r="A52" s="9" t="s">
        <v>80</v>
      </c>
      <c r="B52" s="10" t="s">
        <v>125</v>
      </c>
      <c r="C52" t="s">
        <v>128</v>
      </c>
      <c r="D52" s="9">
        <v>720412.62262678379</v>
      </c>
      <c r="E52" t="s">
        <v>127</v>
      </c>
      <c r="M52" s="9" t="s">
        <v>80</v>
      </c>
      <c r="N52" s="10" t="s">
        <v>132</v>
      </c>
      <c r="O52" t="s">
        <v>126</v>
      </c>
      <c r="P52" s="9">
        <v>880578.07169818459</v>
      </c>
      <c r="Q52" t="s">
        <v>127</v>
      </c>
    </row>
    <row r="53" spans="1:17" x14ac:dyDescent="0.3">
      <c r="A53" s="9" t="s">
        <v>82</v>
      </c>
      <c r="B53" s="10" t="s">
        <v>125</v>
      </c>
      <c r="C53" t="s">
        <v>128</v>
      </c>
      <c r="D53" s="9">
        <v>944856.32358598977</v>
      </c>
      <c r="E53" t="s">
        <v>127</v>
      </c>
      <c r="M53" s="9" t="s">
        <v>82</v>
      </c>
      <c r="N53" s="10" t="s">
        <v>132</v>
      </c>
      <c r="O53" t="s">
        <v>126</v>
      </c>
      <c r="P53" s="9">
        <v>3816489.273055112</v>
      </c>
      <c r="Q53" t="s">
        <v>127</v>
      </c>
    </row>
    <row r="54" spans="1:17" x14ac:dyDescent="0.3">
      <c r="A54" s="9" t="s">
        <v>75</v>
      </c>
      <c r="B54" s="10" t="s">
        <v>125</v>
      </c>
      <c r="C54" t="s">
        <v>128</v>
      </c>
      <c r="D54" s="9">
        <v>670745.81120777316</v>
      </c>
      <c r="E54" t="s">
        <v>127</v>
      </c>
      <c r="M54" s="9" t="s">
        <v>75</v>
      </c>
      <c r="N54" s="10" t="s">
        <v>132</v>
      </c>
      <c r="O54" t="s">
        <v>126</v>
      </c>
      <c r="P54" s="9">
        <v>2414826.5945053352</v>
      </c>
      <c r="Q54" t="s">
        <v>127</v>
      </c>
    </row>
    <row r="55" spans="1:17" x14ac:dyDescent="0.3">
      <c r="A55" s="9" t="s">
        <v>84</v>
      </c>
      <c r="B55" s="10" t="s">
        <v>125</v>
      </c>
      <c r="C55" t="s">
        <v>128</v>
      </c>
      <c r="D55" s="9">
        <v>263380.99454021611</v>
      </c>
      <c r="E55" t="s">
        <v>127</v>
      </c>
      <c r="M55" s="9" t="s">
        <v>84</v>
      </c>
      <c r="N55" s="10" t="s">
        <v>132</v>
      </c>
      <c r="O55" t="s">
        <v>126</v>
      </c>
      <c r="P55" s="9">
        <v>6686299.9649914755</v>
      </c>
      <c r="Q55" t="s">
        <v>127</v>
      </c>
    </row>
    <row r="56" spans="1:17" x14ac:dyDescent="0.3">
      <c r="A56" s="9" t="s">
        <v>83</v>
      </c>
      <c r="B56" s="10" t="s">
        <v>125</v>
      </c>
      <c r="C56" t="s">
        <v>128</v>
      </c>
      <c r="D56" s="9">
        <v>292085.01389884949</v>
      </c>
      <c r="E56" t="s">
        <v>127</v>
      </c>
      <c r="M56" s="9" t="s">
        <v>83</v>
      </c>
      <c r="N56" s="10" t="s">
        <v>132</v>
      </c>
      <c r="O56" t="s">
        <v>126</v>
      </c>
      <c r="P56" s="9">
        <v>1848580.175203328</v>
      </c>
      <c r="Q56" t="s">
        <v>127</v>
      </c>
    </row>
    <row r="57" spans="1:17" x14ac:dyDescent="0.3">
      <c r="A57" s="9" t="s">
        <v>74</v>
      </c>
      <c r="B57" s="10" t="s">
        <v>125</v>
      </c>
      <c r="C57" t="s">
        <v>128</v>
      </c>
      <c r="D57" s="9">
        <v>517361.41401338478</v>
      </c>
      <c r="E57" t="s">
        <v>127</v>
      </c>
      <c r="M57" s="9" t="s">
        <v>74</v>
      </c>
      <c r="N57" s="10" t="s">
        <v>132</v>
      </c>
      <c r="O57" t="s">
        <v>126</v>
      </c>
      <c r="P57" s="9">
        <v>2087870.4199953601</v>
      </c>
      <c r="Q57" t="s">
        <v>127</v>
      </c>
    </row>
    <row r="58" spans="1:17" x14ac:dyDescent="0.3">
      <c r="A58" s="9" t="s">
        <v>56</v>
      </c>
      <c r="B58" s="10" t="s">
        <v>125</v>
      </c>
      <c r="C58" t="s">
        <v>128</v>
      </c>
      <c r="D58" s="9">
        <v>963075.97487735341</v>
      </c>
      <c r="E58" t="s">
        <v>127</v>
      </c>
      <c r="M58" s="9" t="s">
        <v>56</v>
      </c>
      <c r="N58" s="10" t="s">
        <v>132</v>
      </c>
      <c r="O58" t="s">
        <v>126</v>
      </c>
      <c r="P58" s="9">
        <v>51210.05498123174</v>
      </c>
      <c r="Q58" t="s">
        <v>127</v>
      </c>
    </row>
    <row r="59" spans="1:17" x14ac:dyDescent="0.3">
      <c r="A59" s="9" t="s">
        <v>58</v>
      </c>
      <c r="B59" s="10" t="s">
        <v>125</v>
      </c>
      <c r="C59" t="s">
        <v>128</v>
      </c>
      <c r="D59" s="9">
        <v>652483.41067934316</v>
      </c>
      <c r="E59" t="s">
        <v>127</v>
      </c>
      <c r="M59" s="9" t="s">
        <v>58</v>
      </c>
      <c r="N59" s="10" t="s">
        <v>132</v>
      </c>
      <c r="O59" t="s">
        <v>126</v>
      </c>
      <c r="P59" s="9">
        <v>188894.04282951311</v>
      </c>
      <c r="Q59" t="s">
        <v>127</v>
      </c>
    </row>
    <row r="60" spans="1:17" x14ac:dyDescent="0.3">
      <c r="A60" s="9" t="s">
        <v>62</v>
      </c>
      <c r="B60" s="10" t="s">
        <v>125</v>
      </c>
      <c r="C60" t="s">
        <v>128</v>
      </c>
      <c r="D60" s="9">
        <v>371397.50574493321</v>
      </c>
      <c r="E60" t="s">
        <v>127</v>
      </c>
      <c r="M60" s="9" t="s">
        <v>62</v>
      </c>
      <c r="N60" s="10" t="s">
        <v>132</v>
      </c>
      <c r="O60" t="s">
        <v>126</v>
      </c>
      <c r="P60" s="9">
        <v>57360.85405540494</v>
      </c>
      <c r="Q60" t="s">
        <v>127</v>
      </c>
    </row>
    <row r="61" spans="1:17" x14ac:dyDescent="0.3">
      <c r="A61" s="9" t="s">
        <v>59</v>
      </c>
      <c r="B61" s="10" t="s">
        <v>125</v>
      </c>
      <c r="C61" t="s">
        <v>128</v>
      </c>
      <c r="D61" s="9">
        <v>625052.52372884739</v>
      </c>
      <c r="E61" t="s">
        <v>127</v>
      </c>
      <c r="M61" s="9" t="s">
        <v>59</v>
      </c>
      <c r="N61" s="10" t="s">
        <v>132</v>
      </c>
      <c r="O61" t="s">
        <v>126</v>
      </c>
      <c r="P61" s="9">
        <v>15312.26742076874</v>
      </c>
      <c r="Q61" t="s">
        <v>127</v>
      </c>
    </row>
    <row r="62" spans="1:17" x14ac:dyDescent="0.3">
      <c r="A62" s="9" t="s">
        <v>61</v>
      </c>
      <c r="B62" s="10" t="s">
        <v>125</v>
      </c>
      <c r="C62" t="s">
        <v>128</v>
      </c>
      <c r="D62" s="9">
        <v>977216.55285740539</v>
      </c>
      <c r="E62" t="s">
        <v>127</v>
      </c>
      <c r="M62" s="9" t="s">
        <v>61</v>
      </c>
      <c r="N62" s="10" t="s">
        <v>132</v>
      </c>
      <c r="O62" t="s">
        <v>126</v>
      </c>
      <c r="P62" s="9">
        <v>591124.10235404852</v>
      </c>
      <c r="Q62" t="s">
        <v>127</v>
      </c>
    </row>
    <row r="63" spans="1:17" x14ac:dyDescent="0.3">
      <c r="A63" s="9" t="s">
        <v>78</v>
      </c>
      <c r="B63" s="10" t="s">
        <v>125</v>
      </c>
      <c r="C63" t="s">
        <v>128</v>
      </c>
      <c r="D63" s="9">
        <v>1183806.3265318931</v>
      </c>
      <c r="E63" t="s">
        <v>127</v>
      </c>
      <c r="M63" s="9" t="s">
        <v>78</v>
      </c>
      <c r="N63" s="10" t="s">
        <v>132</v>
      </c>
      <c r="O63" t="s">
        <v>126</v>
      </c>
      <c r="P63" s="9">
        <v>211484.13841056879</v>
      </c>
      <c r="Q63" t="s">
        <v>127</v>
      </c>
    </row>
    <row r="64" spans="1:17" x14ac:dyDescent="0.3">
      <c r="A64" s="9" t="s">
        <v>57</v>
      </c>
      <c r="B64" s="10" t="s">
        <v>125</v>
      </c>
      <c r="C64" t="s">
        <v>128</v>
      </c>
      <c r="D64" s="9">
        <v>1453897.4522929159</v>
      </c>
      <c r="E64" t="s">
        <v>127</v>
      </c>
      <c r="M64" s="9" t="s">
        <v>57</v>
      </c>
      <c r="N64" s="10" t="s">
        <v>132</v>
      </c>
      <c r="O64" t="s">
        <v>126</v>
      </c>
      <c r="P64" s="9">
        <v>978704.90029812569</v>
      </c>
      <c r="Q64" t="s">
        <v>127</v>
      </c>
    </row>
    <row r="71" spans="6:22" x14ac:dyDescent="0.3">
      <c r="G71" t="s">
        <v>129</v>
      </c>
      <c r="S71" t="s">
        <v>133</v>
      </c>
    </row>
    <row r="72" spans="6:22" ht="17.25" thickBot="1" x14ac:dyDescent="0.35">
      <c r="H72" t="s">
        <v>130</v>
      </c>
      <c r="I72" t="s">
        <v>131</v>
      </c>
      <c r="J72" t="s">
        <v>134</v>
      </c>
      <c r="T72" t="s">
        <v>130</v>
      </c>
      <c r="U72" t="s">
        <v>131</v>
      </c>
      <c r="V72" t="s">
        <v>134</v>
      </c>
    </row>
    <row r="73" spans="6:22" ht="17.25" thickBot="1" x14ac:dyDescent="0.35">
      <c r="F73" s="13"/>
      <c r="G73" t="s">
        <v>55</v>
      </c>
      <c r="H73" s="1">
        <f>H3*1000</f>
        <v>365501.02201447729</v>
      </c>
      <c r="I73" s="1">
        <f>I3*1000</f>
        <v>22082.63205101114</v>
      </c>
      <c r="J73" s="1">
        <f>J3*1000</f>
        <v>387583.65406548849</v>
      </c>
      <c r="S73" t="s">
        <v>55</v>
      </c>
      <c r="T73" s="2">
        <f>T3*1000</f>
        <v>34629.255216650192</v>
      </c>
      <c r="U73" s="2">
        <f t="shared" ref="U73:V73" si="8">U3*1000</f>
        <v>14984.986324250691</v>
      </c>
      <c r="V73" s="2">
        <f t="shared" si="8"/>
        <v>49614.241540900883</v>
      </c>
    </row>
    <row r="74" spans="6:22" ht="17.25" thickBot="1" x14ac:dyDescent="0.35">
      <c r="F74" s="14"/>
      <c r="G74" t="s">
        <v>56</v>
      </c>
      <c r="H74" s="1">
        <f>H4*1000</f>
        <v>6474.2475267415812</v>
      </c>
      <c r="I74" s="1">
        <f>I4*1000</f>
        <v>963.07597487735336</v>
      </c>
      <c r="J74" s="1">
        <f>J4*1000</f>
        <v>7437.3235016189337</v>
      </c>
      <c r="S74" t="s">
        <v>56</v>
      </c>
      <c r="T74" s="2">
        <f t="shared" ref="T74:V106" si="9">T4*1000</f>
        <v>51.210054981231742</v>
      </c>
      <c r="U74" s="2">
        <f t="shared" si="9"/>
        <v>826.73029815530572</v>
      </c>
      <c r="V74" s="2">
        <f t="shared" si="9"/>
        <v>877.94035313653751</v>
      </c>
    </row>
    <row r="75" spans="6:22" ht="17.25" thickBot="1" x14ac:dyDescent="0.35">
      <c r="F75" s="14"/>
      <c r="G75" t="s">
        <v>57</v>
      </c>
      <c r="H75" s="1">
        <f>H5*1000</f>
        <v>22229.564728966281</v>
      </c>
      <c r="I75" s="1">
        <f>I5*1000</f>
        <v>1453.8974522929161</v>
      </c>
      <c r="J75" s="1">
        <f>J5*1000</f>
        <v>23683.462181259198</v>
      </c>
      <c r="S75" t="s">
        <v>57</v>
      </c>
      <c r="T75" s="2">
        <f t="shared" si="9"/>
        <v>978.70490029812572</v>
      </c>
      <c r="U75" s="2">
        <f t="shared" si="9"/>
        <v>802.59809709978174</v>
      </c>
      <c r="V75" s="2">
        <f t="shared" si="9"/>
        <v>1781.3029973979076</v>
      </c>
    </row>
    <row r="76" spans="6:22" ht="17.25" thickBot="1" x14ac:dyDescent="0.35">
      <c r="F76" s="14"/>
      <c r="G76" t="s">
        <v>58</v>
      </c>
      <c r="H76" s="1">
        <f>H6*1000</f>
        <v>4847.7455816820529</v>
      </c>
      <c r="I76" s="1">
        <f>I6*1000</f>
        <v>652.48341067934314</v>
      </c>
      <c r="J76" s="1">
        <f>J6*1000</f>
        <v>5500.2289923613953</v>
      </c>
      <c r="S76" t="s">
        <v>58</v>
      </c>
      <c r="T76" s="2">
        <f t="shared" si="9"/>
        <v>188.8940428295131</v>
      </c>
      <c r="U76" s="2">
        <f t="shared" si="9"/>
        <v>553.47434981346203</v>
      </c>
      <c r="V76" s="2">
        <f t="shared" si="9"/>
        <v>742.36839264297521</v>
      </c>
    </row>
    <row r="77" spans="6:22" ht="17.25" thickBot="1" x14ac:dyDescent="0.35">
      <c r="F77" s="14"/>
      <c r="G77" t="s">
        <v>59</v>
      </c>
      <c r="H77" s="1">
        <f>H7*1000</f>
        <v>3176.2038332213269</v>
      </c>
      <c r="I77" s="1">
        <f>I7*1000</f>
        <v>625.05252372884729</v>
      </c>
      <c r="J77" s="1">
        <f>J7*1000</f>
        <v>3801.2563569501749</v>
      </c>
      <c r="S77" t="s">
        <v>59</v>
      </c>
      <c r="T77" s="2">
        <f t="shared" si="9"/>
        <v>15.312267420768741</v>
      </c>
      <c r="U77" s="2">
        <f t="shared" si="9"/>
        <v>531.58119717407271</v>
      </c>
      <c r="V77" s="2">
        <f t="shared" si="9"/>
        <v>546.89346459484148</v>
      </c>
    </row>
    <row r="78" spans="6:22" ht="17.25" thickBot="1" x14ac:dyDescent="0.35">
      <c r="F78" s="14"/>
      <c r="G78" t="s">
        <v>60</v>
      </c>
      <c r="H78" s="1">
        <f>H8*1000</f>
        <v>41399.920525362228</v>
      </c>
      <c r="I78" s="1">
        <f>I8*1000</f>
        <v>2244.7458088169274</v>
      </c>
      <c r="J78" s="1">
        <f>J8*1000</f>
        <v>43644.666334179157</v>
      </c>
      <c r="S78" t="s">
        <v>60</v>
      </c>
      <c r="T78" s="2">
        <f t="shared" si="9"/>
        <v>2338.9987937993869</v>
      </c>
      <c r="U78" s="2">
        <f t="shared" si="9"/>
        <v>1899.9486858606201</v>
      </c>
      <c r="V78" s="2">
        <f t="shared" si="9"/>
        <v>4238.947479660007</v>
      </c>
    </row>
    <row r="79" spans="6:22" ht="17.25" thickBot="1" x14ac:dyDescent="0.35">
      <c r="F79" s="14"/>
      <c r="G79" t="s">
        <v>61</v>
      </c>
      <c r="H79" s="1">
        <f>H9*1000</f>
        <v>7758.6260567768213</v>
      </c>
      <c r="I79" s="1">
        <f>I9*1000</f>
        <v>977.21655285740542</v>
      </c>
      <c r="J79" s="1">
        <f>J9*1000</f>
        <v>8735.8426096342264</v>
      </c>
      <c r="S79" t="s">
        <v>61</v>
      </c>
      <c r="T79" s="2">
        <f t="shared" si="9"/>
        <v>591.12410235404855</v>
      </c>
      <c r="U79" s="2">
        <f t="shared" si="9"/>
        <v>854.83637079667938</v>
      </c>
      <c r="V79" s="2">
        <f t="shared" si="9"/>
        <v>1445.9604731507279</v>
      </c>
    </row>
    <row r="80" spans="6:22" ht="17.25" thickBot="1" x14ac:dyDescent="0.35">
      <c r="F80" s="14"/>
      <c r="G80" t="s">
        <v>62</v>
      </c>
      <c r="H80" s="1">
        <f>H10*1000</f>
        <v>1879.489866060271</v>
      </c>
      <c r="I80" s="1">
        <f>I10*1000</f>
        <v>371.3975057449332</v>
      </c>
      <c r="J80" s="1">
        <f>J10*1000</f>
        <v>2250.8873718052041</v>
      </c>
      <c r="S80" t="s">
        <v>62</v>
      </c>
      <c r="T80" s="2">
        <f t="shared" si="9"/>
        <v>57.360854055404943</v>
      </c>
      <c r="U80" s="2">
        <f t="shared" si="9"/>
        <v>323.87691416025098</v>
      </c>
      <c r="V80" s="2">
        <f t="shared" si="9"/>
        <v>381.23776821565593</v>
      </c>
    </row>
    <row r="81" spans="6:22" ht="17.25" thickBot="1" x14ac:dyDescent="0.35">
      <c r="F81" s="14"/>
      <c r="G81" t="s">
        <v>63</v>
      </c>
      <c r="H81" s="1">
        <f>H11*1000</f>
        <v>27464.732975555929</v>
      </c>
      <c r="I81" s="1">
        <f>I11*1000</f>
        <v>1494.1850683050159</v>
      </c>
      <c r="J81" s="1">
        <f>J11*1000</f>
        <v>28958.918043860944</v>
      </c>
      <c r="S81" t="s">
        <v>63</v>
      </c>
      <c r="T81" s="2">
        <f t="shared" si="9"/>
        <v>491.55159650230479</v>
      </c>
      <c r="U81" s="2">
        <f t="shared" si="9"/>
        <v>1146.641571169846</v>
      </c>
      <c r="V81" s="2">
        <f t="shared" si="9"/>
        <v>1638.1931676721506</v>
      </c>
    </row>
    <row r="82" spans="6:22" ht="17.25" thickBot="1" x14ac:dyDescent="0.35">
      <c r="F82" s="14"/>
      <c r="G82" t="s">
        <v>64</v>
      </c>
      <c r="H82" s="1">
        <f>H12*1000</f>
        <v>7628.319152349095</v>
      </c>
      <c r="I82" s="1">
        <f>I12*1000</f>
        <v>798.34959670543833</v>
      </c>
      <c r="J82" s="1">
        <f>J12*1000</f>
        <v>8426.6687490545337</v>
      </c>
      <c r="S82" t="s">
        <v>64</v>
      </c>
      <c r="T82" s="2">
        <f t="shared" si="9"/>
        <v>522.63913496875443</v>
      </c>
      <c r="U82" s="2">
        <f t="shared" si="9"/>
        <v>718.81132597923477</v>
      </c>
      <c r="V82" s="2">
        <f t="shared" si="9"/>
        <v>1241.4504609479893</v>
      </c>
    </row>
    <row r="83" spans="6:22" ht="17.25" thickBot="1" x14ac:dyDescent="0.35">
      <c r="F83" s="14"/>
      <c r="G83" t="s">
        <v>65</v>
      </c>
      <c r="H83" s="1">
        <f>H13*1000</f>
        <v>14604.36451658274</v>
      </c>
      <c r="I83" s="1">
        <f>I13*1000</f>
        <v>1044.9236212754308</v>
      </c>
      <c r="J83" s="1">
        <f>J13*1000</f>
        <v>15649.288137858171</v>
      </c>
      <c r="S83" t="s">
        <v>65</v>
      </c>
      <c r="T83" s="2">
        <f t="shared" si="9"/>
        <v>427.40451157474456</v>
      </c>
      <c r="U83" s="2">
        <f t="shared" si="9"/>
        <v>925.98699779129129</v>
      </c>
      <c r="V83" s="2">
        <f t="shared" si="9"/>
        <v>1353.3915093660357</v>
      </c>
    </row>
    <row r="84" spans="6:22" ht="17.25" thickBot="1" x14ac:dyDescent="0.35">
      <c r="F84" s="14"/>
      <c r="G84" t="s">
        <v>66</v>
      </c>
      <c r="H84" s="1">
        <f>H14*1000</f>
        <v>9876.1158785107655</v>
      </c>
      <c r="I84" s="1">
        <f>I14*1000</f>
        <v>787.26961982345665</v>
      </c>
      <c r="J84" s="1">
        <f>J14*1000</f>
        <v>10663.385498334223</v>
      </c>
      <c r="S84" t="s">
        <v>66</v>
      </c>
      <c r="T84" s="2">
        <f t="shared" si="9"/>
        <v>22.852316383361877</v>
      </c>
      <c r="U84" s="2">
        <f t="shared" si="9"/>
        <v>13.989242919445051</v>
      </c>
      <c r="V84" s="2">
        <f t="shared" si="9"/>
        <v>36.841559302806928</v>
      </c>
    </row>
    <row r="85" spans="6:22" ht="17.25" thickBot="1" x14ac:dyDescent="0.35">
      <c r="F85" s="14"/>
      <c r="G85" t="s">
        <v>67</v>
      </c>
      <c r="H85" s="1">
        <f>H15*1000</f>
        <v>1963.5093577575808</v>
      </c>
      <c r="I85" s="1">
        <f>I15*1000</f>
        <v>211.1128673634513</v>
      </c>
      <c r="J85" s="1">
        <f>J15*1000</f>
        <v>2174.6222251210324</v>
      </c>
      <c r="S85" t="s">
        <v>67</v>
      </c>
      <c r="T85" s="2">
        <f t="shared" si="9"/>
        <v>25.365508142471299</v>
      </c>
      <c r="U85" s="2">
        <f t="shared" si="9"/>
        <v>187.97914951849017</v>
      </c>
      <c r="V85" s="2">
        <f t="shared" si="9"/>
        <v>213.34465766096147</v>
      </c>
    </row>
    <row r="86" spans="6:22" ht="17.25" thickBot="1" x14ac:dyDescent="0.35">
      <c r="F86" s="14"/>
      <c r="G86" t="s">
        <v>68</v>
      </c>
      <c r="H86" s="1">
        <f>H16*1000</f>
        <v>1523.45064263628</v>
      </c>
      <c r="I86" s="1">
        <f>I16*1000</f>
        <v>203.21159323406292</v>
      </c>
      <c r="J86" s="1">
        <f>J16*1000</f>
        <v>1726.662235870343</v>
      </c>
      <c r="S86" t="s">
        <v>68</v>
      </c>
      <c r="T86" s="2">
        <f t="shared" si="9"/>
        <v>81.563406555175476</v>
      </c>
      <c r="U86" s="2">
        <f t="shared" si="9"/>
        <v>181.23495801496458</v>
      </c>
      <c r="V86" s="2">
        <f t="shared" si="9"/>
        <v>262.79836457014005</v>
      </c>
    </row>
    <row r="87" spans="6:22" ht="17.25" thickBot="1" x14ac:dyDescent="0.35">
      <c r="F87" s="14"/>
      <c r="G87" t="s">
        <v>69</v>
      </c>
      <c r="H87" s="1">
        <f>H17*1000</f>
        <v>3043.5958721256607</v>
      </c>
      <c r="I87" s="1">
        <f>I17*1000</f>
        <v>339.17489427852882</v>
      </c>
      <c r="J87" s="1">
        <f>J17*1000</f>
        <v>3382.7707664041895</v>
      </c>
      <c r="S87" t="s">
        <v>69</v>
      </c>
      <c r="T87" s="2">
        <f t="shared" si="9"/>
        <v>168.8875701389309</v>
      </c>
      <c r="U87" s="2">
        <f t="shared" si="9"/>
        <v>298.10046023082782</v>
      </c>
      <c r="V87" s="2">
        <f t="shared" si="9"/>
        <v>466.98803036975875</v>
      </c>
    </row>
    <row r="88" spans="6:22" ht="17.25" thickBot="1" x14ac:dyDescent="0.35">
      <c r="F88" s="14"/>
      <c r="G88" t="s">
        <v>70</v>
      </c>
      <c r="H88" s="1">
        <f>H18*1000</f>
        <v>2563.3852098970701</v>
      </c>
      <c r="I88" s="1">
        <f>I18*1000</f>
        <v>254.83027147817577</v>
      </c>
      <c r="J88" s="1">
        <f>J18*1000</f>
        <v>2818.2154813752459</v>
      </c>
      <c r="S88" t="s">
        <v>70</v>
      </c>
      <c r="T88" s="2">
        <f t="shared" si="9"/>
        <v>43.385358378410231</v>
      </c>
      <c r="U88" s="2">
        <f t="shared" si="9"/>
        <v>219.50634396219252</v>
      </c>
      <c r="V88" s="2">
        <f t="shared" si="9"/>
        <v>262.89170234060276</v>
      </c>
    </row>
    <row r="89" spans="6:22" ht="17.25" thickBot="1" x14ac:dyDescent="0.35">
      <c r="F89" s="14"/>
      <c r="G89" t="s">
        <v>71</v>
      </c>
      <c r="H89" s="1">
        <f>H19*1000</f>
        <v>25216.746597958947</v>
      </c>
      <c r="I89" s="1">
        <f>I19*1000</f>
        <v>1023.5011007676101</v>
      </c>
      <c r="J89" s="1">
        <f>J19*1000</f>
        <v>26240.247698726558</v>
      </c>
      <c r="S89" t="s">
        <v>71</v>
      </c>
      <c r="T89" s="2">
        <f t="shared" si="9"/>
        <v>1754.327034732845</v>
      </c>
      <c r="U89" s="2">
        <f t="shared" si="9"/>
        <v>134.15912447786368</v>
      </c>
      <c r="V89" s="2">
        <f t="shared" si="9"/>
        <v>1888.4861592107088</v>
      </c>
    </row>
    <row r="90" spans="6:22" ht="17.25" thickBot="1" x14ac:dyDescent="0.35">
      <c r="F90" s="14"/>
      <c r="G90" t="s">
        <v>72</v>
      </c>
      <c r="H90" s="1">
        <f>H20*1000</f>
        <v>24436.48180846966</v>
      </c>
      <c r="I90" s="1">
        <f>I20*1000</f>
        <v>993.10654226113627</v>
      </c>
      <c r="J90" s="1">
        <f>J20*1000</f>
        <v>25429.588350730795</v>
      </c>
      <c r="S90" t="s">
        <v>72</v>
      </c>
      <c r="T90" s="2">
        <f t="shared" si="9"/>
        <v>3804.2181815368381</v>
      </c>
      <c r="U90" s="2">
        <f t="shared" si="9"/>
        <v>685.6547581334089</v>
      </c>
      <c r="V90" s="2">
        <f t="shared" si="9"/>
        <v>4489.8729396702474</v>
      </c>
    </row>
    <row r="91" spans="6:22" ht="17.25" thickBot="1" x14ac:dyDescent="0.35">
      <c r="F91" s="14"/>
      <c r="G91" t="s">
        <v>73</v>
      </c>
      <c r="H91" s="1">
        <f>H21*1000</f>
        <v>1832.9635794725741</v>
      </c>
      <c r="I91" s="1">
        <f>I21*1000</f>
        <v>140.4861080613141</v>
      </c>
      <c r="J91" s="1">
        <f>J21*1000</f>
        <v>1973.449687533888</v>
      </c>
      <c r="S91" t="s">
        <v>73</v>
      </c>
      <c r="T91" s="2">
        <f t="shared" si="9"/>
        <v>147.35978625583633</v>
      </c>
      <c r="U91" s="2">
        <f t="shared" si="9"/>
        <v>127.15967867040601</v>
      </c>
      <c r="V91" s="2">
        <f t="shared" si="9"/>
        <v>274.51946492624234</v>
      </c>
    </row>
    <row r="92" spans="6:22" ht="17.25" thickBot="1" x14ac:dyDescent="0.35">
      <c r="F92" s="14"/>
      <c r="G92" t="s">
        <v>74</v>
      </c>
      <c r="H92" s="1">
        <f>H22*1000</f>
        <v>17100.495372796922</v>
      </c>
      <c r="I92" s="1">
        <f>I22*1000</f>
        <v>517.36141401338477</v>
      </c>
      <c r="J92" s="1">
        <f>J22*1000</f>
        <v>17617.856786810305</v>
      </c>
      <c r="S92" t="s">
        <v>74</v>
      </c>
      <c r="T92" s="2">
        <f t="shared" si="9"/>
        <v>2087.87041999536</v>
      </c>
      <c r="U92" s="2">
        <f t="shared" si="9"/>
        <v>147.28094407653808</v>
      </c>
      <c r="V92" s="2">
        <f t="shared" si="9"/>
        <v>2235.1513640718981</v>
      </c>
    </row>
    <row r="93" spans="6:22" ht="17.25" thickBot="1" x14ac:dyDescent="0.35">
      <c r="F93" s="14"/>
      <c r="G93" t="s">
        <v>75</v>
      </c>
      <c r="H93" s="1">
        <f>H23*1000</f>
        <v>26013.921850878491</v>
      </c>
      <c r="I93" s="1">
        <f>I23*1000</f>
        <v>670.74581120777316</v>
      </c>
      <c r="J93" s="1">
        <f>J23*1000</f>
        <v>26684.667662086264</v>
      </c>
      <c r="S93" t="s">
        <v>75</v>
      </c>
      <c r="T93" s="2">
        <f t="shared" si="9"/>
        <v>2414.8265945053354</v>
      </c>
      <c r="U93" s="2">
        <f t="shared" si="9"/>
        <v>272.02644053888332</v>
      </c>
      <c r="V93" s="2">
        <f t="shared" si="9"/>
        <v>2686.8530350442188</v>
      </c>
    </row>
    <row r="94" spans="6:22" ht="17.25" thickBot="1" x14ac:dyDescent="0.35">
      <c r="F94" s="14"/>
      <c r="G94" t="s">
        <v>76</v>
      </c>
      <c r="H94" s="1">
        <f>H24*1000</f>
        <v>1081.076958164218</v>
      </c>
      <c r="I94" s="1">
        <f>I24*1000</f>
        <v>92.043358213901456</v>
      </c>
      <c r="J94" s="1">
        <f>J24*1000</f>
        <v>1173.1203163781197</v>
      </c>
      <c r="S94" t="s">
        <v>76</v>
      </c>
      <c r="T94" s="2">
        <f t="shared" si="9"/>
        <v>37.486985255241429</v>
      </c>
      <c r="U94" s="2">
        <f t="shared" si="9"/>
        <v>83.766438655853349</v>
      </c>
      <c r="V94" s="2">
        <f t="shared" si="9"/>
        <v>121.25342391109477</v>
      </c>
    </row>
    <row r="95" spans="6:22" ht="17.25" thickBot="1" x14ac:dyDescent="0.35">
      <c r="F95" s="15"/>
      <c r="G95" t="s">
        <v>77</v>
      </c>
      <c r="H95" s="1">
        <f>H25*1000</f>
        <v>252114.95789196651</v>
      </c>
      <c r="I95" s="1">
        <f>I25*1000</f>
        <v>15858.171095986407</v>
      </c>
      <c r="J95" s="1">
        <f>J25*1000</f>
        <v>267973.12898795289</v>
      </c>
      <c r="S95" t="s">
        <v>77</v>
      </c>
      <c r="T95" s="2">
        <f t="shared" si="9"/>
        <v>16251.343420664089</v>
      </c>
      <c r="U95" s="2">
        <f t="shared" si="9"/>
        <v>10935.343347199421</v>
      </c>
      <c r="V95" s="2">
        <f t="shared" si="9"/>
        <v>27186.68676786351</v>
      </c>
    </row>
    <row r="96" spans="6:22" ht="17.25" thickBot="1" x14ac:dyDescent="0.35">
      <c r="F96" s="14"/>
      <c r="G96" t="s">
        <v>78</v>
      </c>
      <c r="H96" s="1">
        <f>H26*1000</f>
        <v>12810.557243432891</v>
      </c>
      <c r="I96" s="1">
        <f>I26*1000</f>
        <v>1183.8063265318933</v>
      </c>
      <c r="J96" s="1">
        <f>J26*1000</f>
        <v>13994.363569964784</v>
      </c>
      <c r="S96" t="s">
        <v>78</v>
      </c>
      <c r="T96" s="2">
        <f t="shared" si="9"/>
        <v>211.48413841056879</v>
      </c>
      <c r="U96" s="2">
        <f t="shared" si="9"/>
        <v>970.51126822234426</v>
      </c>
      <c r="V96" s="2">
        <f t="shared" si="9"/>
        <v>1181.995406632913</v>
      </c>
    </row>
    <row r="97" spans="6:22" ht="17.25" thickBot="1" x14ac:dyDescent="0.35">
      <c r="F97" s="14"/>
      <c r="G97" t="s">
        <v>99</v>
      </c>
      <c r="H97" s="1">
        <f>H27*1000</f>
        <v>11512.37936300838</v>
      </c>
      <c r="I97" s="1">
        <f>I27*1000</f>
        <v>977.7294894957588</v>
      </c>
      <c r="J97" s="1">
        <f>J27*1000</f>
        <v>12490.10885250414</v>
      </c>
      <c r="S97" t="s">
        <v>99</v>
      </c>
      <c r="T97" s="2">
        <f t="shared" si="9"/>
        <v>796.5837160358368</v>
      </c>
      <c r="U97" s="2">
        <f t="shared" si="9"/>
        <v>631.42042559528124</v>
      </c>
      <c r="V97" s="2">
        <f t="shared" si="9"/>
        <v>1428.004141631118</v>
      </c>
    </row>
    <row r="98" spans="6:22" ht="17.25" thickBot="1" x14ac:dyDescent="0.35">
      <c r="F98" s="14"/>
      <c r="G98" t="s">
        <v>79</v>
      </c>
      <c r="H98" s="1">
        <f>H28*1000</f>
        <v>26673.303184836834</v>
      </c>
      <c r="I98" s="1">
        <f>I28*1000</f>
        <v>1185.7932619528769</v>
      </c>
      <c r="J98" s="1">
        <f>J28*1000</f>
        <v>27859.09644678971</v>
      </c>
      <c r="S98" t="s">
        <v>79</v>
      </c>
      <c r="T98" s="2">
        <f t="shared" si="9"/>
        <v>3643.8184541063288</v>
      </c>
      <c r="U98" s="2">
        <f t="shared" si="9"/>
        <v>1095.7588569879561</v>
      </c>
      <c r="V98" s="2">
        <f t="shared" si="9"/>
        <v>4739.5773110942855</v>
      </c>
    </row>
    <row r="99" spans="6:22" ht="17.25" thickBot="1" x14ac:dyDescent="0.35">
      <c r="F99" s="14"/>
      <c r="G99" t="s">
        <v>109</v>
      </c>
      <c r="H99" s="1">
        <f>H29*1000</f>
        <v>2557.656369944485</v>
      </c>
      <c r="I99" s="1">
        <f>I29*1000</f>
        <v>331.71007764768433</v>
      </c>
      <c r="J99" s="1">
        <f>J29*1000</f>
        <v>2889.3664475921696</v>
      </c>
      <c r="S99" t="s">
        <v>109</v>
      </c>
      <c r="T99" s="2">
        <f t="shared" si="9"/>
        <v>187.15215425872819</v>
      </c>
      <c r="U99" s="2">
        <f t="shared" si="9"/>
        <v>242.698667188168</v>
      </c>
      <c r="V99" s="2">
        <f t="shared" si="9"/>
        <v>429.85082144689625</v>
      </c>
    </row>
    <row r="100" spans="6:22" ht="17.25" thickBot="1" x14ac:dyDescent="0.35">
      <c r="F100" s="14"/>
      <c r="G100" t="s">
        <v>80</v>
      </c>
      <c r="H100" s="1">
        <f>H30*1000</f>
        <v>10587.7124479456</v>
      </c>
      <c r="I100" s="1">
        <f>I30*1000</f>
        <v>720.41262262678379</v>
      </c>
      <c r="J100" s="1">
        <f>J30*1000</f>
        <v>11308.125070572383</v>
      </c>
      <c r="S100" t="s">
        <v>80</v>
      </c>
      <c r="T100" s="2">
        <f t="shared" si="9"/>
        <v>880.57807169818454</v>
      </c>
      <c r="U100" s="2">
        <f t="shared" si="9"/>
        <v>326.06450272226175</v>
      </c>
      <c r="V100" s="2">
        <f t="shared" si="9"/>
        <v>1206.6425744204464</v>
      </c>
    </row>
    <row r="101" spans="6:22" ht="17.25" thickBot="1" x14ac:dyDescent="0.35">
      <c r="F101" s="14"/>
      <c r="G101" t="s">
        <v>81</v>
      </c>
      <c r="H101" s="1">
        <f>H31*1000</f>
        <v>1504.9124828977281</v>
      </c>
      <c r="I101" s="1">
        <f>I31*1000</f>
        <v>164.32746280336312</v>
      </c>
      <c r="J101" s="1">
        <f>J31*1000</f>
        <v>1669.2399457010911</v>
      </c>
      <c r="S101" t="s">
        <v>81</v>
      </c>
      <c r="T101" s="2">
        <f t="shared" si="9"/>
        <v>39.620472106933654</v>
      </c>
      <c r="U101" s="2">
        <f t="shared" si="9"/>
        <v>140.4214076170916</v>
      </c>
      <c r="V101" s="2">
        <f t="shared" si="9"/>
        <v>180.04187972402525</v>
      </c>
    </row>
    <row r="102" spans="6:22" ht="17.25" thickBot="1" x14ac:dyDescent="0.35">
      <c r="F102" s="14"/>
      <c r="G102" t="s">
        <v>82</v>
      </c>
      <c r="H102" s="1">
        <f>H32*1000</f>
        <v>19704.021114184459</v>
      </c>
      <c r="I102" s="1">
        <f>I32*1000</f>
        <v>944.8563235859898</v>
      </c>
      <c r="J102" s="1">
        <f>J32*1000</f>
        <v>20648.87743777045</v>
      </c>
      <c r="S102" t="s">
        <v>82</v>
      </c>
      <c r="T102" s="2">
        <f t="shared" si="9"/>
        <v>3816.4892730551119</v>
      </c>
      <c r="U102" s="2">
        <f t="shared" si="9"/>
        <v>248.91992376423002</v>
      </c>
      <c r="V102" s="2">
        <f t="shared" si="9"/>
        <v>4065.409196819342</v>
      </c>
    </row>
    <row r="103" spans="6:22" ht="17.25" thickBot="1" x14ac:dyDescent="0.35">
      <c r="F103" s="14"/>
      <c r="G103" t="s">
        <v>112</v>
      </c>
      <c r="H103" s="1">
        <f>H33*1000</f>
        <v>1839.270797627446</v>
      </c>
      <c r="I103" s="1">
        <f>I33*1000</f>
        <v>160.35938194131842</v>
      </c>
      <c r="J103" s="1">
        <f>J33*1000</f>
        <v>1999.6301795687646</v>
      </c>
      <c r="S103" t="s">
        <v>112</v>
      </c>
      <c r="T103" s="2">
        <f t="shared" si="9"/>
        <v>267.30537611961478</v>
      </c>
      <c r="U103" s="2">
        <f t="shared" si="9"/>
        <v>18.349348114967359</v>
      </c>
      <c r="V103" s="2">
        <f t="shared" si="9"/>
        <v>285.65472423458215</v>
      </c>
    </row>
    <row r="104" spans="6:22" ht="17.25" thickBot="1" x14ac:dyDescent="0.35">
      <c r="F104" s="14"/>
      <c r="G104" t="s">
        <v>83</v>
      </c>
      <c r="H104" s="1">
        <f>H34*1000</f>
        <v>9026.6334806367231</v>
      </c>
      <c r="I104" s="1">
        <f>I34*1000</f>
        <v>292.08501389884952</v>
      </c>
      <c r="J104" s="1">
        <f>J34*1000</f>
        <v>9318.718494535573</v>
      </c>
      <c r="S104" t="s">
        <v>83</v>
      </c>
      <c r="T104" s="2">
        <f t="shared" si="9"/>
        <v>1848.5801752033281</v>
      </c>
      <c r="U104" s="2">
        <f t="shared" si="9"/>
        <v>173.30391381406861</v>
      </c>
      <c r="V104" s="2">
        <f t="shared" si="9"/>
        <v>2021.8840890173965</v>
      </c>
    </row>
    <row r="105" spans="6:22" ht="17.25" thickBot="1" x14ac:dyDescent="0.35">
      <c r="F105" s="14"/>
      <c r="G105" t="s">
        <v>84</v>
      </c>
      <c r="H105" s="1">
        <f>H35*1000</f>
        <v>17169.617637996271</v>
      </c>
      <c r="I105" s="1">
        <f>I35*1000</f>
        <v>263.38099454021614</v>
      </c>
      <c r="J105" s="1">
        <f>J35*1000</f>
        <v>17432.998632536488</v>
      </c>
      <c r="S105" t="s">
        <v>84</v>
      </c>
      <c r="T105" s="2">
        <f t="shared" si="9"/>
        <v>6686.2999649914755</v>
      </c>
      <c r="U105" s="2">
        <f t="shared" si="9"/>
        <v>202.19466302490159</v>
      </c>
      <c r="V105" s="2">
        <f t="shared" si="9"/>
        <v>6888.4946280163767</v>
      </c>
    </row>
    <row r="106" spans="6:22" ht="17.25" thickBot="1" x14ac:dyDescent="0.35">
      <c r="F106" s="15"/>
      <c r="G106" t="s">
        <v>85</v>
      </c>
      <c r="H106" s="1">
        <f>H36*1000</f>
        <v>113386.0641225108</v>
      </c>
      <c r="I106" s="1">
        <f>I36*1000</f>
        <v>6224.4609550247333</v>
      </c>
      <c r="J106" s="1">
        <f>J36*1000</f>
        <v>119610.52507753554</v>
      </c>
      <c r="S106" t="s">
        <v>85</v>
      </c>
      <c r="T106" s="2">
        <f t="shared" si="9"/>
        <v>18377.911795986107</v>
      </c>
      <c r="U106" s="2">
        <f t="shared" si="9"/>
        <v>4049.6429770512696</v>
      </c>
      <c r="V106" s="2">
        <f t="shared" si="9"/>
        <v>22427.55477303738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allData_wTotal_forTable</vt:lpstr>
      <vt:lpstr>플랫폼용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Seungho Jeon</cp:lastModifiedBy>
  <dcterms:created xsi:type="dcterms:W3CDTF">2025-07-08T12:51:56Z</dcterms:created>
  <dcterms:modified xsi:type="dcterms:W3CDTF">2025-08-28T01:33:46Z</dcterms:modified>
</cp:coreProperties>
</file>