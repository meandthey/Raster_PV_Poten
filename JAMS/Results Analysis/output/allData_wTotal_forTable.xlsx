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us\Desktop\GRI Github\Raster_PV_Poten\JAMS\Results Analysis\output\"/>
    </mc:Choice>
  </mc:AlternateContent>
  <xr:revisionPtr revIDLastSave="0" documentId="13_ncr:1_{EDF3FC1A-E21B-4A4D-B375-76BE3B47C8CC}" xr6:coauthVersionLast="47" xr6:coauthVersionMax="47" xr10:uidLastSave="{00000000-0000-0000-0000-000000000000}"/>
  <bookViews>
    <workbookView xWindow="19095" yWindow="0" windowWidth="19410" windowHeight="20985" xr2:uid="{848E88AF-C62E-4FAE-89AF-7676CA21BEF9}"/>
  </bookViews>
  <sheets>
    <sheet name="allData_wTotal_for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M21" i="1"/>
  <c r="N14" i="1"/>
  <c r="N15" i="1"/>
  <c r="N16" i="1"/>
  <c r="N17" i="1"/>
  <c r="N18" i="1"/>
  <c r="M20" i="1"/>
  <c r="M15" i="1"/>
  <c r="M16" i="1"/>
  <c r="M17" i="1"/>
  <c r="M18" i="1"/>
  <c r="M14" i="1"/>
  <c r="N11" i="1"/>
  <c r="N10" i="1"/>
  <c r="N4" i="1"/>
  <c r="N5" i="1"/>
  <c r="N6" i="1"/>
  <c r="N7" i="1"/>
  <c r="N8" i="1"/>
  <c r="M10" i="1"/>
  <c r="M11" i="1" s="1"/>
  <c r="M8" i="1"/>
  <c r="M7" i="1"/>
  <c r="M6" i="1"/>
  <c r="M5" i="1"/>
  <c r="M4" i="1"/>
  <c r="E36" i="1"/>
  <c r="E35" i="1"/>
  <c r="C36" i="1"/>
  <c r="C35" i="1"/>
  <c r="B36" i="1"/>
  <c r="B35" i="1"/>
</calcChain>
</file>

<file path=xl/sharedStrings.xml><?xml version="1.0" encoding="utf-8"?>
<sst xmlns="http://schemas.openxmlformats.org/spreadsheetml/2006/main" count="66" uniqueCount="55">
  <si>
    <t>SGG</t>
  </si>
  <si>
    <t>techP</t>
  </si>
  <si>
    <t>marketP</t>
  </si>
  <si>
    <t>Gen</t>
  </si>
  <si>
    <t>utilRate</t>
  </si>
  <si>
    <t>popDensity</t>
  </si>
  <si>
    <t>area</t>
  </si>
  <si>
    <t>Gyeonggi-do</t>
  </si>
  <si>
    <t>Yeoncheon-gun</t>
  </si>
  <si>
    <t>Paju-si</t>
  </si>
  <si>
    <t>Anseong-si</t>
  </si>
  <si>
    <t>Hwaseong-si</t>
  </si>
  <si>
    <t>Pocheon-si</t>
  </si>
  <si>
    <t>Yeoju-si</t>
  </si>
  <si>
    <t>Yangpyeong-gun</t>
  </si>
  <si>
    <t>Gapyeong-gun</t>
  </si>
  <si>
    <t>Icheon-si</t>
  </si>
  <si>
    <t>Yongin-si</t>
  </si>
  <si>
    <t>Pyeongtaek-si</t>
  </si>
  <si>
    <t>Ansan-si</t>
  </si>
  <si>
    <t>Namyangju-si</t>
  </si>
  <si>
    <t>Gimpo-si</t>
  </si>
  <si>
    <t>Siheung-si</t>
  </si>
  <si>
    <t>Yangju-si</t>
  </si>
  <si>
    <t>Goyang-si</t>
  </si>
  <si>
    <t>Suwon-si</t>
  </si>
  <si>
    <t>Seongnam-si</t>
  </si>
  <si>
    <t>Bucheon-si</t>
  </si>
  <si>
    <t>Hanam-si</t>
  </si>
  <si>
    <t>Uijeongbu-si</t>
  </si>
  <si>
    <t>Anyang-si</t>
  </si>
  <si>
    <t>Dongducheon-si</t>
  </si>
  <si>
    <t>Uiwang-si</t>
  </si>
  <si>
    <t>Osan-si</t>
  </si>
  <si>
    <t>Gunpo-si</t>
  </si>
  <si>
    <t>Gwangmyeong-si</t>
  </si>
  <si>
    <t>Guri-si</t>
  </si>
  <si>
    <t>Gwacheon-si</t>
  </si>
  <si>
    <t>Gwangju-si</t>
  </si>
  <si>
    <t>화성</t>
    <phoneticPr fontId="18" type="noConversion"/>
  </si>
  <si>
    <t>평택</t>
    <phoneticPr fontId="18" type="noConversion"/>
  </si>
  <si>
    <t>파주</t>
    <phoneticPr fontId="18" type="noConversion"/>
  </si>
  <si>
    <t>여주</t>
    <phoneticPr fontId="18" type="noConversion"/>
  </si>
  <si>
    <t>이천</t>
    <phoneticPr fontId="18" type="noConversion"/>
  </si>
  <si>
    <t>안성</t>
    <phoneticPr fontId="18" type="noConversion"/>
  </si>
  <si>
    <t>연천</t>
    <phoneticPr fontId="18" type="noConversion"/>
  </si>
  <si>
    <t>포천</t>
    <phoneticPr fontId="18" type="noConversion"/>
  </si>
  <si>
    <t>시장잠재 상위 5</t>
    <phoneticPr fontId="18" type="noConversion"/>
  </si>
  <si>
    <t>기술잠재 상위 5</t>
    <phoneticPr fontId="18" type="noConversion"/>
  </si>
  <si>
    <t>대표 4개 시군</t>
    <phoneticPr fontId="18" type="noConversion"/>
  </si>
  <si>
    <t>과천</t>
    <phoneticPr fontId="18" type="noConversion"/>
  </si>
  <si>
    <t>기술</t>
    <phoneticPr fontId="18" type="noConversion"/>
  </si>
  <si>
    <t>시장</t>
    <phoneticPr fontId="18" type="noConversion"/>
  </si>
  <si>
    <t>high</t>
    <phoneticPr fontId="18" type="noConversion"/>
  </si>
  <si>
    <t>low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</si>
</sst>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43" applyNumberFormat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176" fontId="0" fillId="33" borderId="0" xfId="1" applyNumberFormat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3" builtinId="5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09CA-7FF8-4946-99C7-DBD5C779B18F}">
  <dimension ref="A1:Q36"/>
  <sheetViews>
    <sheetView tabSelected="1" zoomScale="85" zoomScaleNormal="85" workbookViewId="0">
      <selection activeCell="I5" sqref="I5"/>
    </sheetView>
  </sheetViews>
  <sheetFormatPr defaultRowHeight="16.5" x14ac:dyDescent="0.3"/>
  <cols>
    <col min="1" max="1" width="17.125" bestFit="1" customWidth="1"/>
    <col min="2" max="2" width="9.875" bestFit="1" customWidth="1"/>
    <col min="3" max="7" width="9.125" bestFit="1" customWidth="1"/>
    <col min="9" max="9" width="15.5" bestFit="1" customWidth="1"/>
    <col min="12" max="12" width="9.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7" x14ac:dyDescent="0.3">
      <c r="A2" t="s">
        <v>7</v>
      </c>
      <c r="B2" s="1">
        <v>387583.65406548802</v>
      </c>
      <c r="C2" s="1">
        <v>49614.241540900897</v>
      </c>
      <c r="D2" s="1">
        <v>2339.5647593723402</v>
      </c>
      <c r="E2" s="2">
        <v>4.7155104798763396</v>
      </c>
      <c r="F2" s="1">
        <v>1389.0863882690501</v>
      </c>
      <c r="G2" s="1">
        <v>10195.25</v>
      </c>
    </row>
    <row r="3" spans="1:17" x14ac:dyDescent="0.3">
      <c r="A3" s="6" t="s">
        <v>8</v>
      </c>
      <c r="B3" s="7">
        <v>17432.998632536499</v>
      </c>
      <c r="C3" s="7">
        <v>6888.4946280163804</v>
      </c>
      <c r="D3" s="7">
        <v>200.52987717408601</v>
      </c>
      <c r="E3" s="8">
        <v>2.9110841773542999</v>
      </c>
      <c r="F3" s="7">
        <v>62.413686031553603</v>
      </c>
      <c r="G3" s="7">
        <v>676.31</v>
      </c>
      <c r="H3" s="5">
        <f>B3/$B$2</f>
        <v>4.4978673506161158E-2</v>
      </c>
      <c r="I3" s="5">
        <f>C3/$C$2</f>
        <v>0.1388410749429205</v>
      </c>
    </row>
    <row r="4" spans="1:17" x14ac:dyDescent="0.3">
      <c r="A4" s="6" t="s">
        <v>9</v>
      </c>
      <c r="B4" s="7">
        <v>27859.096446789699</v>
      </c>
      <c r="C4" s="7">
        <v>4739.57731109428</v>
      </c>
      <c r="D4" s="7">
        <v>124.842385072017</v>
      </c>
      <c r="E4" s="8">
        <v>2.6340404824664199</v>
      </c>
      <c r="F4" s="7">
        <v>781.726174576321</v>
      </c>
      <c r="G4" s="7">
        <v>673.86</v>
      </c>
      <c r="H4" s="5">
        <f t="shared" ref="H4:H33" si="0">B4/$B$2</f>
        <v>7.1878925116079559E-2</v>
      </c>
      <c r="I4" s="5">
        <f t="shared" ref="I4:I33" si="1">C4/$C$2</f>
        <v>9.5528565264614118E-2</v>
      </c>
      <c r="K4" t="s">
        <v>48</v>
      </c>
      <c r="L4" t="s">
        <v>39</v>
      </c>
      <c r="M4" s="3">
        <f>B6</f>
        <v>43644.666334179099</v>
      </c>
      <c r="N4" s="3">
        <f>G6</f>
        <v>698.18</v>
      </c>
      <c r="O4" s="3"/>
    </row>
    <row r="5" spans="1:17" x14ac:dyDescent="0.3">
      <c r="A5" t="s">
        <v>10</v>
      </c>
      <c r="B5" s="1">
        <v>25429.588350730799</v>
      </c>
      <c r="C5" s="1">
        <v>4489.8729396702502</v>
      </c>
      <c r="D5" s="1">
        <v>193.04995364891801</v>
      </c>
      <c r="E5" s="2">
        <v>4.2996752078043503</v>
      </c>
      <c r="F5" s="1">
        <v>377.36241101434598</v>
      </c>
      <c r="G5" s="1">
        <v>553.46</v>
      </c>
      <c r="H5" s="5">
        <f t="shared" si="0"/>
        <v>6.5610580023155701E-2</v>
      </c>
      <c r="I5" s="5">
        <f t="shared" si="1"/>
        <v>9.0495648028175474E-2</v>
      </c>
      <c r="L5" t="s">
        <v>40</v>
      </c>
      <c r="M5" s="3">
        <f>B13</f>
        <v>28958.9180438609</v>
      </c>
      <c r="N5" s="3">
        <f>G13</f>
        <v>458.24</v>
      </c>
      <c r="O5" s="3"/>
    </row>
    <row r="6" spans="1:17" x14ac:dyDescent="0.3">
      <c r="A6" t="s">
        <v>11</v>
      </c>
      <c r="B6" s="1">
        <v>43644.666334179099</v>
      </c>
      <c r="C6" s="1">
        <v>4238.9474796600098</v>
      </c>
      <c r="D6" s="1">
        <v>303.78196328151</v>
      </c>
      <c r="E6" s="2">
        <v>7.1664479151762297</v>
      </c>
      <c r="F6" s="1">
        <v>1460.76942908705</v>
      </c>
      <c r="G6" s="1">
        <v>698.18</v>
      </c>
      <c r="H6" s="5">
        <f t="shared" si="0"/>
        <v>0.11260708720911301</v>
      </c>
      <c r="I6" s="5">
        <f t="shared" si="1"/>
        <v>8.5438119136931959E-2</v>
      </c>
      <c r="L6" t="s">
        <v>41</v>
      </c>
      <c r="M6" s="3">
        <f>B4</f>
        <v>27859.096446789699</v>
      </c>
      <c r="N6" s="3">
        <f>G4</f>
        <v>673.86</v>
      </c>
      <c r="O6" s="3"/>
    </row>
    <row r="7" spans="1:17" x14ac:dyDescent="0.3">
      <c r="A7" t="s">
        <v>12</v>
      </c>
      <c r="B7" s="1">
        <v>20648.877437770501</v>
      </c>
      <c r="C7" s="1">
        <v>4065.4091968193402</v>
      </c>
      <c r="D7" s="1">
        <v>143.05159450003001</v>
      </c>
      <c r="E7" s="2">
        <v>3.51875020630025</v>
      </c>
      <c r="F7" s="1">
        <v>190.806738339118</v>
      </c>
      <c r="G7" s="1">
        <v>826.91</v>
      </c>
      <c r="H7" s="5">
        <f t="shared" si="0"/>
        <v>5.3275924361561353E-2</v>
      </c>
      <c r="I7" s="5">
        <f t="shared" si="1"/>
        <v>8.1940367736306224E-2</v>
      </c>
      <c r="L7" t="s">
        <v>42</v>
      </c>
      <c r="M7" s="3">
        <f>B8</f>
        <v>26684.6676620863</v>
      </c>
      <c r="N7" s="3">
        <f>G8</f>
        <v>608.26</v>
      </c>
      <c r="O7" s="3"/>
    </row>
    <row r="8" spans="1:17" x14ac:dyDescent="0.3">
      <c r="A8" t="s">
        <v>13</v>
      </c>
      <c r="B8" s="1">
        <v>26684.6676620863</v>
      </c>
      <c r="C8" s="1">
        <v>2686.8530350442202</v>
      </c>
      <c r="D8" s="1">
        <v>211.748602161138</v>
      </c>
      <c r="E8" s="2">
        <v>7.8809149365198996</v>
      </c>
      <c r="F8" s="1">
        <v>196.16940124288999</v>
      </c>
      <c r="G8" s="1">
        <v>608.26</v>
      </c>
      <c r="H8" s="5">
        <f t="shared" si="0"/>
        <v>6.8848795304400343E-2</v>
      </c>
      <c r="I8" s="5">
        <f t="shared" si="1"/>
        <v>5.4154874721388961E-2</v>
      </c>
      <c r="L8" t="s">
        <v>43</v>
      </c>
      <c r="M8" s="3">
        <f>B11</f>
        <v>26240.247698726602</v>
      </c>
      <c r="N8" s="3">
        <f>G11</f>
        <v>461.43</v>
      </c>
      <c r="O8" s="3"/>
    </row>
    <row r="9" spans="1:17" x14ac:dyDescent="0.3">
      <c r="A9" t="s">
        <v>14</v>
      </c>
      <c r="B9" s="1">
        <v>17617.856786810298</v>
      </c>
      <c r="C9" s="1">
        <v>2235.1513640718999</v>
      </c>
      <c r="D9" s="1">
        <v>65.627789593059703</v>
      </c>
      <c r="E9" s="2">
        <v>2.93616757450833</v>
      </c>
      <c r="F9" s="1">
        <v>146.358053526872</v>
      </c>
      <c r="G9" s="1">
        <v>877.69</v>
      </c>
      <c r="H9" s="5">
        <f t="shared" si="0"/>
        <v>4.5455623842778209E-2</v>
      </c>
      <c r="I9" s="5">
        <f t="shared" si="1"/>
        <v>4.5050600284381855E-2</v>
      </c>
      <c r="M9" s="3"/>
    </row>
    <row r="10" spans="1:17" x14ac:dyDescent="0.3">
      <c r="A10" t="s">
        <v>15</v>
      </c>
      <c r="B10" s="1">
        <v>9318.7184945355693</v>
      </c>
      <c r="C10" s="1">
        <v>2021.8840890173999</v>
      </c>
      <c r="D10" s="1">
        <v>55.418143925696299</v>
      </c>
      <c r="E10" s="2">
        <v>2.7409159717275702</v>
      </c>
      <c r="F10" s="1">
        <v>75.638290306521597</v>
      </c>
      <c r="G10" s="1">
        <v>843.66</v>
      </c>
      <c r="H10" s="5">
        <f t="shared" si="0"/>
        <v>2.4043115329525824E-2</v>
      </c>
      <c r="I10" s="5">
        <f t="shared" si="1"/>
        <v>4.0752091057375185E-2</v>
      </c>
      <c r="M10" s="3">
        <f>SUM(M4:M8)</f>
        <v>153387.59618564261</v>
      </c>
      <c r="N10" s="3">
        <f>SUM(N4:N8)</f>
        <v>2899.97</v>
      </c>
    </row>
    <row r="11" spans="1:17" x14ac:dyDescent="0.3">
      <c r="A11" s="6" t="s">
        <v>16</v>
      </c>
      <c r="B11" s="7">
        <v>26240.247698726602</v>
      </c>
      <c r="C11" s="7">
        <v>1888.48615921071</v>
      </c>
      <c r="D11" s="7">
        <v>189.991179857481</v>
      </c>
      <c r="E11" s="8">
        <v>10.0605015785177</v>
      </c>
      <c r="F11" s="7">
        <v>504.68110005851401</v>
      </c>
      <c r="G11" s="7">
        <v>461.43</v>
      </c>
      <c r="H11" s="5">
        <f t="shared" si="0"/>
        <v>6.7702152615272376E-2</v>
      </c>
      <c r="I11" s="5">
        <f t="shared" si="1"/>
        <v>3.8063388667422905E-2</v>
      </c>
      <c r="M11" s="5">
        <f>M10/B2</f>
        <v>0.39575352205055969</v>
      </c>
      <c r="N11" s="5">
        <f>N10/G2</f>
        <v>0.28444324562909196</v>
      </c>
    </row>
    <row r="12" spans="1:17" x14ac:dyDescent="0.3">
      <c r="A12" t="s">
        <v>17</v>
      </c>
      <c r="B12" s="1">
        <v>23683.462181259201</v>
      </c>
      <c r="C12" s="1">
        <v>1781.3029973979101</v>
      </c>
      <c r="D12" s="1">
        <v>83.206348223266303</v>
      </c>
      <c r="E12" s="2">
        <v>4.6710946057359397</v>
      </c>
      <c r="F12" s="1">
        <v>1871.9838303198401</v>
      </c>
      <c r="G12" s="1">
        <v>591.23</v>
      </c>
      <c r="H12" s="5">
        <f t="shared" si="0"/>
        <v>6.1105420553307255E-2</v>
      </c>
      <c r="I12" s="5">
        <f t="shared" si="1"/>
        <v>3.590305811546958E-2</v>
      </c>
    </row>
    <row r="13" spans="1:17" x14ac:dyDescent="0.3">
      <c r="A13" t="s">
        <v>18</v>
      </c>
      <c r="B13" s="1">
        <v>28958.9180438609</v>
      </c>
      <c r="C13" s="1">
        <v>1638.1931676721499</v>
      </c>
      <c r="D13" s="1">
        <v>152.48619505923901</v>
      </c>
      <c r="E13" s="2">
        <v>9.3081938118396401</v>
      </c>
      <c r="F13" s="1">
        <v>1377.10588337989</v>
      </c>
      <c r="G13" s="1">
        <v>458.24</v>
      </c>
      <c r="H13" s="5">
        <f t="shared" si="0"/>
        <v>7.4716561805694359E-2</v>
      </c>
      <c r="I13" s="5">
        <f t="shared" si="1"/>
        <v>3.3018607496431429E-2</v>
      </c>
    </row>
    <row r="14" spans="1:17" x14ac:dyDescent="0.3">
      <c r="A14" t="s">
        <v>19</v>
      </c>
      <c r="B14" s="1">
        <v>8735.84260963423</v>
      </c>
      <c r="C14" s="1">
        <v>1445.96047315073</v>
      </c>
      <c r="D14" s="1">
        <v>62.696000000093903</v>
      </c>
      <c r="E14" s="2">
        <v>4.3359414841734996</v>
      </c>
      <c r="F14" s="1">
        <v>4316.6314846798396</v>
      </c>
      <c r="G14" s="1">
        <v>156.33000000000001</v>
      </c>
      <c r="H14" s="5">
        <f t="shared" si="0"/>
        <v>2.2539244155426068E-2</v>
      </c>
      <c r="I14" s="5">
        <f t="shared" si="1"/>
        <v>2.9144060822913351E-2</v>
      </c>
      <c r="K14" t="s">
        <v>47</v>
      </c>
      <c r="L14" t="s">
        <v>45</v>
      </c>
      <c r="M14" s="3">
        <f>C3</f>
        <v>6888.4946280163804</v>
      </c>
      <c r="N14" s="3">
        <f>F3</f>
        <v>62.413686031553603</v>
      </c>
      <c r="O14" s="3"/>
      <c r="P14" s="3"/>
      <c r="Q14" s="3"/>
    </row>
    <row r="15" spans="1:17" x14ac:dyDescent="0.3">
      <c r="A15" t="s">
        <v>20</v>
      </c>
      <c r="B15" s="1">
        <v>12490.1088525041</v>
      </c>
      <c r="C15" s="1">
        <v>1428.0041416311201</v>
      </c>
      <c r="D15" s="1">
        <v>49.546685923458199</v>
      </c>
      <c r="E15" s="2">
        <v>3.4696458139725102</v>
      </c>
      <c r="F15" s="1">
        <v>1619.0138385646301</v>
      </c>
      <c r="G15" s="1">
        <v>458.14</v>
      </c>
      <c r="H15" s="5">
        <f t="shared" si="0"/>
        <v>3.2225582068519616E-2</v>
      </c>
      <c r="I15" s="5">
        <f t="shared" si="1"/>
        <v>2.8782141927009095E-2</v>
      </c>
      <c r="L15" t="s">
        <v>41</v>
      </c>
      <c r="M15" s="3">
        <f>C4</f>
        <v>4739.57731109428</v>
      </c>
      <c r="N15" s="3">
        <f>F4</f>
        <v>781.726174576321</v>
      </c>
      <c r="O15" s="3"/>
      <c r="P15" s="3"/>
      <c r="Q15" s="3"/>
    </row>
    <row r="16" spans="1:17" x14ac:dyDescent="0.3">
      <c r="A16" t="s">
        <v>21</v>
      </c>
      <c r="B16" s="1">
        <v>15649.288137858201</v>
      </c>
      <c r="C16" s="1">
        <v>1353.3915093660401</v>
      </c>
      <c r="D16" s="1">
        <v>94.653561543461095</v>
      </c>
      <c r="E16" s="2">
        <v>6.9938048885646804</v>
      </c>
      <c r="F16" s="1">
        <v>1852.6481327500801</v>
      </c>
      <c r="G16" s="1">
        <v>276.61</v>
      </c>
      <c r="H16" s="5">
        <f t="shared" si="0"/>
        <v>4.0376543163541209E-2</v>
      </c>
      <c r="I16" s="5">
        <f t="shared" si="1"/>
        <v>2.7278286784860627E-2</v>
      </c>
      <c r="L16" t="s">
        <v>44</v>
      </c>
      <c r="M16" s="3">
        <f>C5</f>
        <v>4489.8729396702502</v>
      </c>
      <c r="N16" s="3">
        <f>F5</f>
        <v>377.36241101434598</v>
      </c>
      <c r="O16" s="3"/>
      <c r="P16" s="3"/>
      <c r="Q16" s="3"/>
    </row>
    <row r="17" spans="1:17" x14ac:dyDescent="0.3">
      <c r="A17" t="s">
        <v>22</v>
      </c>
      <c r="B17" s="1">
        <v>8426.6687490545301</v>
      </c>
      <c r="C17" s="1">
        <v>1241.45046094799</v>
      </c>
      <c r="D17" s="1">
        <v>53.734876295289503</v>
      </c>
      <c r="E17" s="2">
        <v>4.3283947274268799</v>
      </c>
      <c r="F17" s="1">
        <v>3999.3198739977101</v>
      </c>
      <c r="G17" s="1">
        <v>139.68</v>
      </c>
      <c r="H17" s="5">
        <f t="shared" si="0"/>
        <v>2.1741548335861241E-2</v>
      </c>
      <c r="I17" s="5">
        <f t="shared" si="1"/>
        <v>2.5022058634607269E-2</v>
      </c>
      <c r="L17" t="s">
        <v>39</v>
      </c>
      <c r="M17" s="3">
        <f>C6</f>
        <v>4238.9474796600098</v>
      </c>
      <c r="N17" s="3">
        <f>F6</f>
        <v>1460.76942908705</v>
      </c>
      <c r="O17" s="3"/>
      <c r="P17" s="3"/>
      <c r="Q17" s="3"/>
    </row>
    <row r="18" spans="1:17" x14ac:dyDescent="0.3">
      <c r="A18" t="s">
        <v>23</v>
      </c>
      <c r="B18" s="1">
        <v>11308.1250705724</v>
      </c>
      <c r="C18" s="1">
        <v>1206.64257442045</v>
      </c>
      <c r="D18" s="1">
        <v>53.6694290761357</v>
      </c>
      <c r="E18" s="2">
        <v>4.44783154629806</v>
      </c>
      <c r="F18" s="1">
        <v>962.81931514351095</v>
      </c>
      <c r="G18" s="1">
        <v>310.43</v>
      </c>
      <c r="H18" s="5">
        <f t="shared" si="0"/>
        <v>2.9175959697881695E-2</v>
      </c>
      <c r="I18" s="5">
        <f t="shared" si="1"/>
        <v>2.4320488169222949E-2</v>
      </c>
      <c r="L18" t="s">
        <v>46</v>
      </c>
      <c r="M18" s="3">
        <f>C7</f>
        <v>4065.4091968193402</v>
      </c>
      <c r="N18" s="3">
        <f>F7</f>
        <v>190.806738339118</v>
      </c>
      <c r="O18" s="3"/>
      <c r="P18" s="3"/>
      <c r="Q18" s="3"/>
    </row>
    <row r="19" spans="1:17" x14ac:dyDescent="0.3">
      <c r="A19" t="s">
        <v>24</v>
      </c>
      <c r="B19" s="1">
        <v>13994.3635699648</v>
      </c>
      <c r="C19" s="1">
        <v>1181.9954066329101</v>
      </c>
      <c r="D19" s="1">
        <v>58.779017525752899</v>
      </c>
      <c r="E19" s="2">
        <v>4.9728634473456701</v>
      </c>
      <c r="F19" s="1">
        <v>4043.3420365535198</v>
      </c>
      <c r="G19" s="1">
        <v>268.10000000000002</v>
      </c>
      <c r="H19" s="5">
        <f t="shared" si="0"/>
        <v>3.6106691866835655E-2</v>
      </c>
      <c r="I19" s="5">
        <f t="shared" si="1"/>
        <v>2.3823712102068493E-2</v>
      </c>
    </row>
    <row r="20" spans="1:17" x14ac:dyDescent="0.3">
      <c r="A20" t="s">
        <v>25</v>
      </c>
      <c r="B20" s="1">
        <v>7437.3235016189301</v>
      </c>
      <c r="C20" s="1">
        <v>877.94035313653796</v>
      </c>
      <c r="D20" s="1">
        <v>40.665886534345901</v>
      </c>
      <c r="E20" s="2">
        <v>4.6319646191296</v>
      </c>
      <c r="F20" s="1">
        <v>10173.408208770299</v>
      </c>
      <c r="G20" s="1">
        <v>121.09</v>
      </c>
      <c r="H20" s="5">
        <f t="shared" si="0"/>
        <v>1.9188950368795182E-2</v>
      </c>
      <c r="I20" s="5">
        <f t="shared" si="1"/>
        <v>1.7695329523737313E-2</v>
      </c>
      <c r="M20" s="3">
        <f>SUM(M14:M18)</f>
        <v>24422.301555260259</v>
      </c>
      <c r="N20" s="3"/>
    </row>
    <row r="21" spans="1:17" x14ac:dyDescent="0.3">
      <c r="A21" t="s">
        <v>26</v>
      </c>
      <c r="B21" s="1">
        <v>5500.2289923613998</v>
      </c>
      <c r="C21" s="1">
        <v>742.36839264297498</v>
      </c>
      <c r="D21" s="1">
        <v>25.580175838632201</v>
      </c>
      <c r="E21" s="2">
        <v>3.44575228311672</v>
      </c>
      <c r="F21" s="1">
        <v>6566.9632140083304</v>
      </c>
      <c r="G21" s="1">
        <v>141.63</v>
      </c>
      <c r="H21" s="5">
        <f t="shared" si="0"/>
        <v>1.419107574498499E-2</v>
      </c>
      <c r="I21" s="5">
        <f t="shared" si="1"/>
        <v>1.4962808451500416E-2</v>
      </c>
      <c r="M21" s="5">
        <f>M20/C2</f>
        <v>0.49224377510894823</v>
      </c>
    </row>
    <row r="22" spans="1:17" x14ac:dyDescent="0.3">
      <c r="A22" t="s">
        <v>27</v>
      </c>
      <c r="B22" s="1">
        <v>3801.2563569501699</v>
      </c>
      <c r="C22" s="1">
        <v>546.89346459484102</v>
      </c>
      <c r="D22" s="1">
        <v>12.012887838361801</v>
      </c>
      <c r="E22" s="2">
        <v>2.1965681830302</v>
      </c>
      <c r="F22" s="1">
        <v>14952.7034611787</v>
      </c>
      <c r="G22" s="1">
        <v>53.45</v>
      </c>
      <c r="H22" s="5">
        <f t="shared" si="0"/>
        <v>9.8075765504493928E-3</v>
      </c>
      <c r="I22" s="5">
        <f t="shared" si="1"/>
        <v>1.1022912930030262E-2</v>
      </c>
    </row>
    <row r="23" spans="1:17" x14ac:dyDescent="0.3">
      <c r="A23" t="s">
        <v>28</v>
      </c>
      <c r="B23" s="1">
        <v>3382.77076640419</v>
      </c>
      <c r="C23" s="1">
        <v>466.98803036975897</v>
      </c>
      <c r="D23" s="1">
        <v>15.5200135316635</v>
      </c>
      <c r="E23" s="2">
        <v>3.3234285511289898</v>
      </c>
      <c r="F23" s="1">
        <v>3568.8138509517198</v>
      </c>
      <c r="G23" s="1">
        <v>92.99</v>
      </c>
      <c r="H23" s="5">
        <f t="shared" si="0"/>
        <v>8.7278468297649642E-3</v>
      </c>
      <c r="I23" s="5">
        <f t="shared" si="1"/>
        <v>9.4123787014819982E-3</v>
      </c>
      <c r="K23" t="s">
        <v>49</v>
      </c>
      <c r="L23" t="s">
        <v>51</v>
      </c>
      <c r="M23" t="s">
        <v>52</v>
      </c>
    </row>
    <row r="24" spans="1:17" x14ac:dyDescent="0.3">
      <c r="A24" t="s">
        <v>29</v>
      </c>
      <c r="B24" s="1">
        <v>2889.3664475921701</v>
      </c>
      <c r="C24" s="1">
        <v>429.85082144689602</v>
      </c>
      <c r="D24" s="1">
        <v>15.8653712793545</v>
      </c>
      <c r="E24" s="2">
        <v>3.69090170072282</v>
      </c>
      <c r="F24" s="1">
        <v>5742.18270999387</v>
      </c>
      <c r="G24" s="1">
        <v>81.55</v>
      </c>
      <c r="H24" s="5">
        <f t="shared" si="0"/>
        <v>7.4548201847128692E-3</v>
      </c>
      <c r="I24" s="5">
        <f t="shared" si="1"/>
        <v>8.6638595712994308E-3</v>
      </c>
      <c r="K24" t="s">
        <v>41</v>
      </c>
      <c r="L24" t="s">
        <v>53</v>
      </c>
      <c r="M24" t="s">
        <v>53</v>
      </c>
    </row>
    <row r="25" spans="1:17" x14ac:dyDescent="0.3">
      <c r="A25" t="s">
        <v>30</v>
      </c>
      <c r="B25" s="1">
        <v>2250.8873718052</v>
      </c>
      <c r="C25" s="1">
        <v>381.23776821565599</v>
      </c>
      <c r="D25" s="1">
        <v>8.5725947547621502</v>
      </c>
      <c r="E25" s="2">
        <v>2.24862158722765</v>
      </c>
      <c r="F25" s="1">
        <v>9635.4198734393703</v>
      </c>
      <c r="G25" s="1">
        <v>58.47</v>
      </c>
      <c r="H25" s="5">
        <f t="shared" si="0"/>
        <v>5.8074878757009684E-3</v>
      </c>
      <c r="I25" s="5">
        <f t="shared" si="1"/>
        <v>7.6840390253949944E-3</v>
      </c>
      <c r="K25" t="s">
        <v>43</v>
      </c>
      <c r="L25" t="s">
        <v>53</v>
      </c>
      <c r="M25" t="s">
        <v>54</v>
      </c>
    </row>
    <row r="26" spans="1:17" x14ac:dyDescent="0.3">
      <c r="A26" t="s">
        <v>31</v>
      </c>
      <c r="B26" s="1">
        <v>1999.63017956876</v>
      </c>
      <c r="C26" s="1">
        <v>285.65472423458198</v>
      </c>
      <c r="D26" s="1">
        <v>12.124089913908</v>
      </c>
      <c r="E26" s="2">
        <v>4.2443162620169304</v>
      </c>
      <c r="F26" s="1">
        <v>952.18981917006397</v>
      </c>
      <c r="G26" s="1">
        <v>95.67</v>
      </c>
      <c r="H26" s="5">
        <f t="shared" si="0"/>
        <v>5.1592221668638602E-3</v>
      </c>
      <c r="I26" s="5">
        <f t="shared" si="1"/>
        <v>5.7575146845506939E-3</v>
      </c>
      <c r="K26" t="s">
        <v>45</v>
      </c>
      <c r="L26" t="s">
        <v>54</v>
      </c>
      <c r="M26" t="s">
        <v>53</v>
      </c>
    </row>
    <row r="27" spans="1:17" x14ac:dyDescent="0.3">
      <c r="A27" t="s">
        <v>32</v>
      </c>
      <c r="B27" s="1">
        <v>1973.44968753389</v>
      </c>
      <c r="C27" s="1">
        <v>274.51946492624199</v>
      </c>
      <c r="D27" s="1">
        <v>8.3212658993084592</v>
      </c>
      <c r="E27" s="2">
        <v>3.03121161246042</v>
      </c>
      <c r="F27" s="1">
        <v>2879.62243198223</v>
      </c>
      <c r="G27" s="1">
        <v>54.03</v>
      </c>
      <c r="H27" s="5">
        <f t="shared" si="0"/>
        <v>5.0916741891298811E-3</v>
      </c>
      <c r="I27" s="5">
        <f t="shared" si="1"/>
        <v>5.5330779308585048E-3</v>
      </c>
      <c r="K27" t="s">
        <v>50</v>
      </c>
      <c r="L27" t="s">
        <v>54</v>
      </c>
      <c r="M27" t="s">
        <v>54</v>
      </c>
    </row>
    <row r="28" spans="1:17" x14ac:dyDescent="0.3">
      <c r="A28" t="s">
        <v>33</v>
      </c>
      <c r="B28" s="1">
        <v>2818.21548137525</v>
      </c>
      <c r="C28" s="1">
        <v>262.89170234060299</v>
      </c>
      <c r="D28" s="1">
        <v>18.598573099575098</v>
      </c>
      <c r="E28" s="2">
        <v>7.0746139699300103</v>
      </c>
      <c r="F28" s="1">
        <v>5916.0618122219603</v>
      </c>
      <c r="G28" s="1">
        <v>42.71</v>
      </c>
      <c r="H28" s="5">
        <f t="shared" si="0"/>
        <v>7.2712444186283217E-3</v>
      </c>
      <c r="I28" s="5">
        <f t="shared" si="1"/>
        <v>5.298714525825832E-3</v>
      </c>
    </row>
    <row r="29" spans="1:17" x14ac:dyDescent="0.3">
      <c r="A29" t="s">
        <v>34</v>
      </c>
      <c r="B29" s="1">
        <v>1726.6622358703401</v>
      </c>
      <c r="C29" s="1">
        <v>262.79836457014</v>
      </c>
      <c r="D29" s="1">
        <v>7.1899251236337296</v>
      </c>
      <c r="E29" s="2">
        <v>2.7359093864203898</v>
      </c>
      <c r="F29" s="1">
        <v>7190.9939593629897</v>
      </c>
      <c r="G29" s="1">
        <v>36.42</v>
      </c>
      <c r="H29" s="5">
        <f t="shared" si="0"/>
        <v>4.4549408050593249E-3</v>
      </c>
      <c r="I29" s="5">
        <f t="shared" si="1"/>
        <v>5.2968332561023788E-3</v>
      </c>
    </row>
    <row r="30" spans="1:17" x14ac:dyDescent="0.3">
      <c r="A30" t="s">
        <v>35</v>
      </c>
      <c r="B30" s="1">
        <v>2174.6222251210302</v>
      </c>
      <c r="C30" s="1">
        <v>213.34465766096201</v>
      </c>
      <c r="D30" s="1">
        <v>11.249757452426699</v>
      </c>
      <c r="E30" s="2">
        <v>5.2730438979654899</v>
      </c>
      <c r="F30" s="1">
        <v>7295.1466389826101</v>
      </c>
      <c r="G30" s="1">
        <v>38.53</v>
      </c>
      <c r="H30" s="5">
        <f t="shared" si="0"/>
        <v>5.6107170731033856E-3</v>
      </c>
      <c r="I30" s="5">
        <f t="shared" si="1"/>
        <v>4.3000689123723745E-3</v>
      </c>
    </row>
    <row r="31" spans="1:17" x14ac:dyDescent="0.3">
      <c r="A31" t="s">
        <v>36</v>
      </c>
      <c r="B31" s="1">
        <v>1669.2399457010899</v>
      </c>
      <c r="C31" s="1">
        <v>180.04187972402499</v>
      </c>
      <c r="D31" s="1">
        <v>6.1827931403136498</v>
      </c>
      <c r="E31" s="2">
        <v>3.4340860858545001</v>
      </c>
      <c r="F31" s="1">
        <v>5652.6552655265496</v>
      </c>
      <c r="G31" s="1">
        <v>33.33</v>
      </c>
      <c r="H31" s="5">
        <f t="shared" si="0"/>
        <v>4.3067862336089308E-3</v>
      </c>
      <c r="I31" s="5">
        <f t="shared" si="1"/>
        <v>3.6288346678766095E-3</v>
      </c>
    </row>
    <row r="32" spans="1:17" x14ac:dyDescent="0.3">
      <c r="A32" s="6" t="s">
        <v>37</v>
      </c>
      <c r="B32" s="7">
        <v>1173.1203163781199</v>
      </c>
      <c r="C32" s="7">
        <v>121.253423911095</v>
      </c>
      <c r="D32" s="7">
        <v>2.67067278143442</v>
      </c>
      <c r="E32" s="8">
        <v>2.2025545302478302</v>
      </c>
      <c r="F32" s="7">
        <v>2391.2182882631701</v>
      </c>
      <c r="G32" s="7">
        <v>35.869999999999997</v>
      </c>
      <c r="H32" s="5">
        <f t="shared" si="0"/>
        <v>3.0267538480348395E-3</v>
      </c>
      <c r="I32" s="5">
        <f t="shared" si="1"/>
        <v>2.4439237635253647E-3</v>
      </c>
    </row>
    <row r="33" spans="1:9" x14ac:dyDescent="0.3">
      <c r="A33" t="s">
        <v>38</v>
      </c>
      <c r="B33" s="1">
        <v>10663.385498334201</v>
      </c>
      <c r="C33" s="1">
        <v>36.8415593028069</v>
      </c>
      <c r="D33" s="1">
        <v>58.197149323988</v>
      </c>
      <c r="E33" s="2">
        <v>157.966031908845</v>
      </c>
      <c r="F33" s="1">
        <v>957.14053690340802</v>
      </c>
      <c r="G33" s="1">
        <v>430.99</v>
      </c>
      <c r="H33" s="5">
        <f t="shared" si="0"/>
        <v>2.75124747560496E-2</v>
      </c>
      <c r="I33" s="5">
        <f t="shared" si="1"/>
        <v>7.425601633441382E-4</v>
      </c>
    </row>
    <row r="35" spans="1:9" x14ac:dyDescent="0.3">
      <c r="B35" s="3">
        <f>MIN(B3:B33)</f>
        <v>1173.1203163781199</v>
      </c>
      <c r="C35" s="3">
        <f>MIN(C3:C33)</f>
        <v>36.8415593028069</v>
      </c>
      <c r="E35" s="4">
        <f>MIN(E3:E33)</f>
        <v>2.1965681830302</v>
      </c>
    </row>
    <row r="36" spans="1:9" x14ac:dyDescent="0.3">
      <c r="B36" s="3">
        <f>MAX(B3:B33)</f>
        <v>43644.666334179099</v>
      </c>
      <c r="C36" s="3">
        <f>MAX(C3:C33)</f>
        <v>6888.4946280163804</v>
      </c>
      <c r="E36" s="4">
        <f>MAX(E3:E33)</f>
        <v>157.966031908845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allData_wTotal_forTable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Seungho Jeon</cp:lastModifiedBy>
  <dcterms:created xsi:type="dcterms:W3CDTF">2025-07-08T12:51:56Z</dcterms:created>
  <dcterms:modified xsi:type="dcterms:W3CDTF">2025-07-08T14:02:34Z</dcterms:modified>
</cp:coreProperties>
</file>